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Volumes/POLI/Magistrale/21_ACAV/f1tenth_PoliMI/hardware/bom/"/>
    </mc:Choice>
  </mc:AlternateContent>
  <xr:revisionPtr revIDLastSave="0" documentId="13_ncr:1_{0D641C2E-F454-0443-81A2-8850F3BD84D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(POLIMI) Rally + Orin Nano v1" sheetId="1" r:id="rId1"/>
    <sheet name="(ORIGINAL) Rally + Orin Nano" sheetId="2" r:id="rId2"/>
    <sheet name="Fastener Breakdown" sheetId="3" r:id="rId3"/>
    <sheet name="ToolsPeripherals (DEPRECATED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G52" i="1"/>
  <c r="E51" i="1"/>
  <c r="E48" i="1"/>
  <c r="E49" i="1"/>
  <c r="E50" i="1"/>
  <c r="G50" i="1"/>
  <c r="E40" i="1"/>
  <c r="C37" i="2"/>
  <c r="E46" i="1"/>
  <c r="E45" i="1"/>
  <c r="E44" i="1"/>
  <c r="E43" i="1"/>
  <c r="E42" i="1"/>
  <c r="E39" i="1"/>
  <c r="E38" i="1"/>
  <c r="E37" i="1"/>
  <c r="E36" i="1"/>
  <c r="E35" i="1"/>
  <c r="E34" i="1"/>
  <c r="E33" i="1"/>
  <c r="E32" i="1"/>
  <c r="E31" i="1"/>
  <c r="E30" i="1"/>
  <c r="E28" i="1"/>
  <c r="E27" i="1"/>
  <c r="E26" i="1"/>
  <c r="E25" i="1"/>
  <c r="E23" i="1"/>
  <c r="E22" i="1"/>
  <c r="E21" i="1"/>
  <c r="E19" i="1"/>
  <c r="E18" i="1"/>
  <c r="E17" i="1"/>
  <c r="E15" i="1"/>
  <c r="E14" i="1"/>
  <c r="E13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<sst xmlns="http://schemas.openxmlformats.org/spreadsheetml/2006/main" count="283" uniqueCount="197">
  <si>
    <t>PoliMi BOM</t>
  </si>
  <si>
    <t>Scroll right to see links</t>
  </si>
  <si>
    <t>Qty</t>
  </si>
  <si>
    <t>Unit Price</t>
  </si>
  <si>
    <t>Total</t>
  </si>
  <si>
    <t>SEL</t>
  </si>
  <si>
    <t>Comments</t>
  </si>
  <si>
    <t>Suggested Link</t>
  </si>
  <si>
    <t>Chassis</t>
  </si>
  <si>
    <t>Traxxas Fiesta ST Rally VXL Edition; 1/10 Scale Brushless Pro 4WD</t>
  </si>
  <si>
    <t>https://www.modellismo.it/visualizza_oggetto.php?cod=TXX74276-4-GRN&amp;dove=%2Fprodotti%2Ftraxxas&amp;lingua=ita</t>
  </si>
  <si>
    <t>x</t>
  </si>
  <si>
    <t>https://rueil-modelisme.com/electrique-tt-pret-a-rouler/7155-ford-fiesta-st-rally-vxl-id-rtr-74276-4-traxxas.html</t>
  </si>
  <si>
    <t>https://www.evocrc.com/rallye/145037-ford-fiesta-st-rally-vert-brushless-vxl-3s-rtr-traxxas-74276-4-grn-110.html</t>
  </si>
  <si>
    <t>2 Zee 3S LiPo Batteries (6000mAh)</t>
  </si>
  <si>
    <t>https://amzn.eu/d/04ogTQuG</t>
  </si>
  <si>
    <t>LiPo Battery Charger (with EC5 Cable)</t>
  </si>
  <si>
    <t>https://amzn.eu/d/0idbDFfg</t>
  </si>
  <si>
    <t>Antenna Mount (3D print)</t>
  </si>
  <si>
    <t>Files found in google drive</t>
  </si>
  <si>
    <t>https://drive.google.com/drive/folders/1sy-XiJJ4hmhEKf5qQbUaPYY6Aw-L31Gk?usp=drive_link</t>
  </si>
  <si>
    <t>Platform Deck (lasercut)</t>
  </si>
  <si>
    <t>Fits Orin Nano or Xavier NX</t>
  </si>
  <si>
    <t>https://drive.google.com/drive/folders/1NU4FZzvMEGKCOFzDBvnjyePnnSMvsZPG?usp=drive_link</t>
  </si>
  <si>
    <t>Fasteners</t>
  </si>
  <si>
    <t>M3 Socket Head Kit</t>
  </si>
  <si>
    <t>TOTAL in the Kit = 480 pcs</t>
  </si>
  <si>
    <t>https://amzn.eu/d/09jG02MS</t>
  </si>
  <si>
    <t>M5 Socket Head Kit</t>
  </si>
  <si>
    <t>TOTAL in the Kit = 720 pcs (Note: ~8$ + 12$ shipping, same supplier as above so ordering together may cut costs)</t>
  </si>
  <si>
    <t>https://amzn.eu/d/0hnQ0stW</t>
  </si>
  <si>
    <t>6mm hex 14mm M3 standoffs</t>
  </si>
  <si>
    <t>Assorted Kit TOTAL = 140 pcs</t>
  </si>
  <si>
    <t>https://amzn.eu/d/0934urF9</t>
  </si>
  <si>
    <t>6mm hex 25mm M3 standoffs</t>
  </si>
  <si>
    <t>6mm hex 45mm M3 standoffs</t>
  </si>
  <si>
    <t>TOTAL = 10 pcs (out of 6 needed)</t>
  </si>
  <si>
    <t>https://amzn.eu/d/04Ugqb5h</t>
  </si>
  <si>
    <t>M2.5 x 0.45mm, 6mm long</t>
  </si>
  <si>
    <t>TOTAL = 60 pcs (out of 4 needed)
You'll only need 4 screws. This screw length is for a 0.12" platform deck. Adjust accordingly if you use a different platform deck thickness.</t>
  </si>
  <si>
    <t>https://amzn.eu/d/02bQy3af</t>
  </si>
  <si>
    <t>M2.5 x 0.45mm, 10mm long FF Standoffs</t>
  </si>
  <si>
    <t>TOTAL = 180 pcs</t>
  </si>
  <si>
    <t>https://amzn.eu/d/0j7PSHhZ</t>
  </si>
  <si>
    <t>Compute module</t>
  </si>
  <si>
    <t>Jetson Orin Nano Super</t>
  </si>
  <si>
    <t>Choose ONE of the listed options</t>
  </si>
  <si>
    <t>https://www.arrow.com/en/products/945-13766-0000-000/nvidia.html</t>
  </si>
  <si>
    <t>https://amzn.eu/d/0izrkK4Z</t>
  </si>
  <si>
    <t>NVMe SSD Card 500 Gb</t>
  </si>
  <si>
    <t>https://amzn.eu/d/0ffKlbu4</t>
  </si>
  <si>
    <t>LIDARS</t>
  </si>
  <si>
    <t>Hokuyo 10LX</t>
  </si>
  <si>
    <t>https://www.robotshop.com/en/hokuyo-ust-10lx-scanning-laser-rangefinder.html</t>
  </si>
  <si>
    <t>Orbbec Pulsar SL450</t>
  </si>
  <si>
    <t>https://eu.robotshop.com/products/orbbec-pulsar-sl450-single-line-lidar-robotic-navigation</t>
  </si>
  <si>
    <t>Richbeam Lakibeam 1L</t>
  </si>
  <si>
    <t>https://eu.robotshop.com/products/lakibeam-1l-dtof-industry-grade-single-line-lidar</t>
  </si>
  <si>
    <t>Richbeam Lakibeam 1</t>
  </si>
  <si>
    <t>https://eu.robotshop.com/products/lakibeam-1-dtof-industry-grade-single-line-lidar</t>
  </si>
  <si>
    <t>Electronics</t>
  </si>
  <si>
    <t>Powerboard</t>
  </si>
  <si>
    <t>https://orders.ambimat.com/product/roboracer-power-board-multi-qty-rohs-compliant/</t>
  </si>
  <si>
    <t>VESC 6 MkVI</t>
  </si>
  <si>
    <t>https://trampaboards.com/vesc-6-mkv-in-cnc-t6-silicone-sealed-aluminium-box-with-genuine-xt90-connectors--vedder-electronic-speed-controller-trampa-special-p-27536.html</t>
  </si>
  <si>
    <t xml:space="preserve">Joystick: 8BitDo Ultimate 2C Wireless </t>
  </si>
  <si>
    <t>https://amzn.eu/d/096jB5FS</t>
  </si>
  <si>
    <t>Zeee Fireproof Lipo Battery Bag Explosion-Proof for Charge &amp; Storage.</t>
  </si>
  <si>
    <t>https://amzn.eu/d/0dPEUR2n</t>
  </si>
  <si>
    <t>Barrel Jack to Pigtail</t>
  </si>
  <si>
    <t>You will only need one</t>
  </si>
  <si>
    <t>https://amzn.eu/d/04H49Gdl</t>
  </si>
  <si>
    <t>3S Balance Plug Extender</t>
  </si>
  <si>
    <t>https://amzn.eu/d/0ibdH4zI</t>
  </si>
  <si>
    <t>Antenna</t>
  </si>
  <si>
    <t>https://amzn.eu/d/02tJmKlW</t>
  </si>
  <si>
    <t>https://amzn.eu/d/0ak3Mr9H</t>
  </si>
  <si>
    <t>Intel RealSense D435i</t>
  </si>
  <si>
    <t>https://amzn.eu/d/0g7w5ZpY</t>
  </si>
  <si>
    <t>Orbbec Gemini 335L</t>
  </si>
  <si>
    <t>Miscellaneous</t>
  </si>
  <si>
    <t>Header Pins</t>
  </si>
  <si>
    <t>You'll only need 3 header pins.</t>
  </si>
  <si>
    <t>https://amzn.eu/d/096zo9ar</t>
  </si>
  <si>
    <t>VESC ppm cable</t>
  </si>
  <si>
    <t>https://trampaboards.com/maytech-to-vesc-150mm-ppm-extension-cable--silicon-cable-24-awg-blackredwhite-p-24329.html</t>
  </si>
  <si>
    <t>DP emulator</t>
  </si>
  <si>
    <t>https://amzn.eu/d/09g0oNKo</t>
  </si>
  <si>
    <t>short (~1 ft) A USB-to-Micro USB cable</t>
  </si>
  <si>
    <t>https://amzn.eu/d/03RNgWbz</t>
  </si>
  <si>
    <t>Bullet Adapter 4mm Male 3.5mm Female</t>
  </si>
  <si>
    <t>https://amzn.eu/d/0imA4WsT</t>
  </si>
  <si>
    <t>Tools - Track - Utils</t>
  </si>
  <si>
    <t xml:space="preserve"> HDMI-to-HDMI cable (car to display)</t>
  </si>
  <si>
    <t>https://amzn.eu/d/0cvPlFlt</t>
  </si>
  <si>
    <t>Ethernet Cable 3m</t>
  </si>
  <si>
    <t>https://amzn.eu/d/0hhUO5Xc</t>
  </si>
  <si>
    <t>Ducts (Track Material)</t>
  </si>
  <si>
    <t>https://www.vevor.it/tubo-condotto-flessibile-c_10371/tubo-condotto-pvc-flexible-32-piedi-30cm-ventilatore-assiale-exhaust-hose-p_010750193881</t>
  </si>
  <si>
    <t>Total:</t>
  </si>
  <si>
    <t>(estimated)</t>
  </si>
  <si>
    <t>Rally + Orin Nano (ORIGINAL BOM)</t>
  </si>
  <si>
    <t>Cost per Unit</t>
  </si>
  <si>
    <t>Link</t>
  </si>
  <si>
    <t>Slash 4x4 Ultimate also compatible with the platform deck, but is more expensive ($529.95): https://traxxas.com/68277-4-slash-4x4-vxl-ultimate                                                             Cheaper ($329.95) but weaker alternative (https://a.co/d/0c9ZRLgj)</t>
  </si>
  <si>
    <t>https://traxxas.com/products/landing/fiesta-st-rally-vxl/</t>
  </si>
  <si>
    <t>https://a.co/d/07viD7OJ</t>
  </si>
  <si>
    <t>https://a.co/d/04M3SdSJ</t>
  </si>
  <si>
    <t>https://a.co/d/0ePVll7A</t>
  </si>
  <si>
    <t>You'll need 2 M5x20mm screws</t>
  </si>
  <si>
    <t>https://www.amazon.com/iExcell-Stainless-Socket-Screws-Assortment/dp/B07SBQ1JX5/ref=sr_1_5?crid=1NZXVWZG931FW&amp;keywords=m5+socket+head&amp;qid=1583273500&amp;s=industrial&amp;sprefix=m5+socket%2Cindustrial%2C134&amp;sr=1-5</t>
  </si>
  <si>
    <t>https://www.mcmaster.com/94868A009</t>
  </si>
  <si>
    <t>https://www.mcmaster.com/94868A013</t>
  </si>
  <si>
    <t>https://www.mcmaster.com/94868A190</t>
  </si>
  <si>
    <t>You'll only need 4 screws. This screw length is for a 0.12" platform deck. Adjust accordingly if you use a different platform deck thickness.</t>
  </si>
  <si>
    <t>https://www.mcmaster.com/94500A213/</t>
  </si>
  <si>
    <t>https://www.mcmaster.com/95947A005/</t>
  </si>
  <si>
    <t>https://www.sparkfun.com/products/22098</t>
  </si>
  <si>
    <t>https://a.co/d/0fV5xrP8</t>
  </si>
  <si>
    <t>Sensors</t>
  </si>
  <si>
    <t>40Hz, 15 Hz Alternative (SICK TIM 571: https://www.sick.com/us/en/catalog/products/lidar-and-radar-sensors/lidar-sensors/tim/tim571-2050101/p/p412444 )</t>
  </si>
  <si>
    <t>https://orders.ambimat.com/product/f1tenth-power-board-rohs-com-multipliant/</t>
  </si>
  <si>
    <t>Alternative: Dualshock 4 (https://www.amazon.com/s?k=ps4+controller+dualshock+4&amp;ref=nb_sb_noss_1
)</t>
  </si>
  <si>
    <t>https://a.co/d/04eI03bz</t>
  </si>
  <si>
    <t>https://a.co/d/0gqCuJEP</t>
  </si>
  <si>
    <t>https://a.co/d/08r6C0zE</t>
  </si>
  <si>
    <t>https://a.co/d/04z1CrzG</t>
  </si>
  <si>
    <t>https://www.amazon.com/Antenna-MHF4-IPEX-Wireless-Repeater/dp/B07V1W759Z/ref=as_li_ss_tl?dchild=1&amp;keywords=7dBi+2.4GHz+5GHz+5.8G+Dual+Band+WiFi+RP-SMA+Male+High+Gain+Antenna+&amp;+MHF4+IPEX+4+to+RP+SMA+Female+Cable+Antenna+for+NGFF+M.2+AX200+9260+WiFi+Card+Wireless+Routers+PC+Repeater+Desktop+PC+FPV+UAV+Drone&amp;qid=1599076820&amp;sr=8-1&amp;linkCode=sl1&amp;tag=jetsonhacks-20&amp;linkId=b71a94c6b3d354e2289b3843f50d3feb&amp;language=en_US</t>
  </si>
  <si>
    <t>Intel RealSense D435i (optional)</t>
  </si>
  <si>
    <t>https://store.realsenseai.com/buy-intel-realsense-depth-camera-d435i.html</t>
  </si>
  <si>
    <t>https://www.amazon.com/DIKAVS-Break-Headers-Header-Connector/dp/B076F64ZCJ/ref=sr_1_20?keywords=header+pins&amp;link_code=qs&amp;qid=1583274210&amp;sr=8-20</t>
  </si>
  <si>
    <t>Alternative: https://www.adafruit.com/product/3893 (1.25$)</t>
  </si>
  <si>
    <t>https://www.amazon.com/FUERAN-DP-DisplayPort-emulator-2560x1600/dp/B071CGCTMY/ref=sr_1_1_sspa?crid=14AY29OV7GI7J&amp;dib=eyJ2IjoiMSJ9.Nzn1r1ELg1nz3QfKElQDdR5Ki8mvEs-7rtHL2pdHoxp8QRd4r7m0xn08kWOAS2eHMM9W9X-Z_Sbt1gaplwMw2dbNX-If8Z6rl9dJTs7QQcE5Dr3v_vqY4eNv81s6QZOK872dyUFU5IZ3MrhLtD5UmszxscCMqhty5VS4p9D0WCsx-Cfyk11fDAw6sdqHVSlaCuW3IoK0i8_GrkO63iAEKkidFCNS6Wlis6INdyeGFdg.syehI3t7uokfanpuBaxCdSpwbEn5mHRbN2fnL1qDF8U&amp;dib_tag=se&amp;keywords=display+port+emulator&amp;qid=1718041775&amp;sprefix=display+por+emulator%2Caps%2C72&amp;sr=8-1-spons&amp;sp_csd=d2lkZ2V0TmFtZT1zcF9hdGY&amp;psc=1</t>
  </si>
  <si>
    <t>sold in bulk (pack of 5)</t>
  </si>
  <si>
    <t>https://a.co/d/0hjc5X8u</t>
  </si>
  <si>
    <t>https://www.amainhobbies.com/bullet-adapter-4mm-male-3.5mm-female-3-gpmm3123/p608341</t>
  </si>
  <si>
    <t>Updated: 2026-05-15</t>
  </si>
  <si>
    <t>These costs exclude track materials and do not account for the increase in hardware prices</t>
  </si>
  <si>
    <t>Fastener Breakdown</t>
  </si>
  <si>
    <t>Antenna mount</t>
  </si>
  <si>
    <t>Qty.</t>
  </si>
  <si>
    <t>45mm M3 standoff</t>
  </si>
  <si>
    <t>M3 x 8 screws</t>
  </si>
  <si>
    <t>VESC mount</t>
  </si>
  <si>
    <t>M5 x 20 screws</t>
  </si>
  <si>
    <t>Power Board mount</t>
  </si>
  <si>
    <t>M3 x 20 screws</t>
  </si>
  <si>
    <t>Lidar mount</t>
  </si>
  <si>
    <t>Mounting Plate mount</t>
  </si>
  <si>
    <t>45 mm M3 standoffs</t>
  </si>
  <si>
    <t>14 mm M3 standoffs</t>
  </si>
  <si>
    <t>Tools and Peripherals (DEPRECATED)</t>
  </si>
  <si>
    <t>Tools</t>
  </si>
  <si>
    <t>Metric ruler</t>
  </si>
  <si>
    <t>local hardware store (faster than online)</t>
  </si>
  <si>
    <t>Needle-nose pliers</t>
  </si>
  <si>
    <t>2mm width or smaller flathead screwdriver</t>
  </si>
  <si>
    <t>screwdriver set</t>
  </si>
  <si>
    <t>https://www.amazon.com/HORUSDY-100-Piece-Screwdriver-screwdriver-Electrician/dp/B07BT2VPTV/ref=sr_1_18?keywords=screwdriver+set&amp;qid=1547760416&amp;s=Home+Improvement&amp;sr=1-18</t>
  </si>
  <si>
    <t>adjustable wrench (to hold standoffs in place)</t>
  </si>
  <si>
    <t>https://www.hnstools.com/klein-tools-slim-jaw-adjustable-wrench-d86932/detail</t>
  </si>
  <si>
    <t>T3 Torx screwdriver</t>
  </si>
  <si>
    <t>used to remove TX2</t>
  </si>
  <si>
    <t>https://www.ifixit.com/Store/Tools/T3-Torx-Screwdriver/IF145-041-2</t>
  </si>
  <si>
    <t>Wireless router</t>
  </si>
  <si>
    <t>Double Sided Tape</t>
  </si>
  <si>
    <t>(for mounting USB hubs and optionally VESC)</t>
  </si>
  <si>
    <t>Track Material</t>
  </si>
  <si>
    <t>Air Duct Material (for creating a race Track)</t>
  </si>
  <si>
    <t>-</t>
  </si>
  <si>
    <t>https://www.vevor.it/tubo-condotto-flessibile-c_10371/tubo-condotto-pvc-flexible-16-piedi-30cm-ventilatore-assiale-exhaust-hose-p_010327751566?adp=gmc&amp;country=IT&amp;utm_source=google&amp;utm_medium=cpc&amp;utm_id=24309360712&amp;ad_group=205809115572&amp;ad_id=826528110155&amp;utm_term=&amp;gad_source=1&amp;gad_campaignid=24309360712&amp;gbraid=0AAAAACTUhxXN5l2El8TQFFqdmX58H4a0Y&amp;gclid=CjwKCAjwifjVBhBKEiwAYx4K9M_VSbpEIhzHtptBH7iGA1XswIRDGeVGvTq439zuWD2VVh0I8ckrGBoC5QQQAvD_BwE</t>
  </si>
  <si>
    <t xml:space="preserve">Laser cut the mounts </t>
  </si>
  <si>
    <t>https://drive.google.com/drive/folders/1nt0ZO4beQ2dVvx_JtG515-q1HvWNrgP5?usp=sharing</t>
  </si>
  <si>
    <t>Video Material for set up the track</t>
  </si>
  <si>
    <t>https://www.dropbox.com/s/z07opm0f2e17y7y/F1-10%20pop-up%20racetrack.mp4?dl=0  and https://www.dropbox.com/s/ludl84vr90nupwc/10%20live%20demo%20.mp4?dl=0</t>
  </si>
  <si>
    <t>TimeKeeping System</t>
  </si>
  <si>
    <t>TimeKeeping Software: https://nextleveltiming.com/</t>
  </si>
  <si>
    <t>https://trackmateracing.com/shop/en/r-c-lap-counter-transponder-system/122-759-rc-lap-counter.html#/126-software-free_download</t>
  </si>
  <si>
    <t>Peripherals</t>
  </si>
  <si>
    <t>USB keyboard and mouse</t>
  </si>
  <si>
    <t>HDMI display</t>
  </si>
  <si>
    <t>HDMI-to-HDMI cable (to connect car to display)</t>
  </si>
  <si>
    <t>https://www.amazon.com/AmazonBasics-High-Speed-HDMI-Cable-1-Pack/dp/B014I8SSD0/ref=sr_1_3?crid=XMSL2XRHT8JC&amp;keywords=hdmi+to+hdmi+cable&amp;qid=1547846882&amp;s=Electronics&amp;sprefix=hdmi+to+h%2Celectronics%2C198&amp;sr=1-3</t>
  </si>
  <si>
    <t>Ethernet cable</t>
  </si>
  <si>
    <t>https://www.amazon.com/AmazonBasics-RJ45-Cat-6-Ethernet-Patch-Cable-5-Feet-1-5-Meters/dp/B00N2VILDM/ref=sxin_2?crid=1MTI9ZFERYQYG&amp;keywords=ethernet+cable&amp;pd_rd_i=B00N2VILDM&amp;pd_rd_r=07517f04-f0f1-49c9-957c-3c7a7f9f0aa4&amp;pd_rd_w=TbDx5&amp;pd_rd_wg=Rcds0&amp;pf_rd_p=70355792-caa9-41b7-bbcc-bee9ee21b884&amp;pf_rd_r=P1CTKHHA2N5S84FM73E9&amp;qid=1547846839&amp;s=Electronics&amp;sprefix=ethernet%2Celectronics%2C190</t>
  </si>
  <si>
    <t>Extras</t>
  </si>
  <si>
    <t>RC Car Jack</t>
  </si>
  <si>
    <t>https://www.amazon.com/Duratrax-Tech-Deluxe-Truck-Stand/dp/B0014T74MS/ref=sr_1_8?keywords=rc+car+jack&amp;link_code=qs&amp;qid=1583767342&amp;sr=8-8</t>
  </si>
  <si>
    <r>
      <t xml:space="preserve">Choose ONE of the listed options - </t>
    </r>
    <r>
      <rPr>
        <b/>
        <sz val="18"/>
        <color rgb="FFFF0000"/>
        <rFont val="Calibri"/>
        <family val="2"/>
      </rPr>
      <t>LOW STOCK</t>
    </r>
    <r>
      <rPr>
        <b/>
        <sz val="18"/>
        <color rgb="FF000000"/>
        <rFont val="Calibri"/>
        <family val="2"/>
      </rPr>
      <t xml:space="preserve">
Model is End-of-Life, available through unofficial retailers</t>
    </r>
  </si>
  <si>
    <r>
      <t xml:space="preserve">Choose ONE of the listed options - </t>
    </r>
    <r>
      <rPr>
        <b/>
        <sz val="18"/>
        <color rgb="FFFF0000"/>
        <rFont val="Calibri"/>
        <family val="2"/>
      </rPr>
      <t>LOW STOCK</t>
    </r>
  </si>
  <si>
    <t>https://openelab.io/products/orbbec-gemini-335l-stereo-camera?srsltid=AU7gw4WV_LMucG3H9iXtPq4gxBth5IaVVh1p7ClCoNp5OEf0dFrP1rbj</t>
  </si>
  <si>
    <t>https://www.digikey.it/it/products/detail/orbbec/100100478/23024082?srsltid=AU7gw4WokcDz96KtNyGnA0IWpYbt4VXk_WfC6iO1PVKhbTkxg6MTspV0</t>
  </si>
  <si>
    <r>
      <t xml:space="preserve">Choose ONE of the listed options - </t>
    </r>
    <r>
      <rPr>
        <b/>
        <sz val="18"/>
        <color rgb="FFFF0000"/>
        <rFont val="Calibri"/>
        <family val="2"/>
      </rPr>
      <t>ONE LEFT IN STOCK</t>
    </r>
    <r>
      <rPr>
        <b/>
        <sz val="18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Orbbec Pulsar SL450</t>
    </r>
    <r>
      <rPr>
        <sz val="11"/>
        <color theme="1"/>
        <rFont val="Calibri"/>
        <family val="2"/>
      </rPr>
      <t xml:space="preserve"> is by far the best choice in terms of performance, though slightly heavier and larger in volume/footprint 
[still comfortably within specs]</t>
    </r>
  </si>
  <si>
    <t>IVA INCLUDED</t>
  </si>
  <si>
    <t>IVA</t>
  </si>
  <si>
    <t>Updated: 2026-10-7</t>
  </si>
  <si>
    <r>
      <t xml:space="preserve">Choose ONE of the listed cameras - </t>
    </r>
    <r>
      <rPr>
        <b/>
        <sz val="18"/>
        <color rgb="FFFF0000"/>
        <rFont val="Calibri"/>
        <family val="2"/>
      </rPr>
      <t>ONE LEFT IN STOCK</t>
    </r>
    <r>
      <rPr>
        <b/>
        <sz val="18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Orbbec Gemini 335L </t>
    </r>
    <r>
      <rPr>
        <sz val="11"/>
        <color theme="1"/>
        <rFont val="Calibri"/>
        <family val="2"/>
      </rPr>
      <t>is by far the best choice. Global shutter, Stereo Vision, 60fps @ 800p, 6DoF IMU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</si>
</sst>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57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2"/>
      <color rgb="FF000000"/>
      <name val="Calibri"/>
      <family val="2"/>
    </font>
    <font>
      <u/>
      <sz val="12"/>
      <color rgb="FF0000FF"/>
      <name val="Calibri"/>
      <family val="2"/>
    </font>
    <font>
      <u/>
      <sz val="12"/>
      <color rgb="FF0563C1"/>
      <name val="Calibri"/>
      <family val="2"/>
    </font>
    <font>
      <sz val="10"/>
      <color theme="1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u/>
      <sz val="12"/>
      <color rgb="FF0000FF"/>
      <name val="Calibri"/>
      <family val="2"/>
    </font>
    <font>
      <u/>
      <sz val="10"/>
      <color rgb="FF0000FF"/>
      <name val="Arial"/>
      <family val="2"/>
    </font>
    <font>
      <u/>
      <sz val="12"/>
      <color rgb="FF0000FF"/>
      <name val="Calibri"/>
      <family val="2"/>
    </font>
    <font>
      <sz val="12"/>
      <color rgb="FF1155CC"/>
      <name val="Calibri"/>
      <family val="2"/>
    </font>
    <font>
      <u/>
      <sz val="12"/>
      <color rgb="FF1155CC"/>
      <name val="Calibri"/>
      <family val="2"/>
    </font>
    <font>
      <u/>
      <sz val="12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Arial"/>
      <family val="2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u/>
      <sz val="11"/>
      <color rgb="FF0563C1"/>
      <name val="Arial"/>
      <family val="2"/>
    </font>
    <font>
      <u/>
      <sz val="11"/>
      <color rgb="FF1155CC"/>
      <name val="Calibri"/>
      <family val="2"/>
    </font>
    <font>
      <u/>
      <sz val="12"/>
      <color rgb="FF0563C1"/>
      <name val="Calibri"/>
      <family val="2"/>
    </font>
    <font>
      <u/>
      <sz val="12"/>
      <color rgb="FF0563C1"/>
      <name val="Calibri"/>
      <family val="2"/>
    </font>
    <font>
      <sz val="12"/>
      <color rgb="FFED7D31"/>
      <name val="Calibri"/>
      <family val="2"/>
    </font>
    <font>
      <b/>
      <sz val="12"/>
      <color rgb="FF0563C1"/>
      <name val="Calibri"/>
      <family val="2"/>
    </font>
    <font>
      <b/>
      <sz val="16"/>
      <color rgb="FF000000"/>
      <name val="Calibri"/>
      <family val="2"/>
    </font>
    <font>
      <u/>
      <sz val="10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0"/>
      <name val="Calibri"/>
      <family val="2"/>
    </font>
    <font>
      <sz val="10"/>
      <color rgb="FF000000"/>
      <name val="Calibri"/>
      <family val="2"/>
    </font>
    <font>
      <b/>
      <sz val="18"/>
      <color theme="1"/>
      <name val="Calibri"/>
      <family val="2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i/>
      <sz val="16"/>
      <color theme="2"/>
      <name val="Calibri"/>
      <family val="2"/>
    </font>
    <font>
      <b/>
      <sz val="16"/>
      <color theme="2"/>
      <name val="Calibri"/>
      <family val="2"/>
    </font>
    <font>
      <i/>
      <sz val="12"/>
      <color theme="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 tint="-0.249977111117893"/>
      <name val="Calibri"/>
      <family val="2"/>
    </font>
    <font>
      <sz val="10"/>
      <color theme="0" tint="-0.249977111117893"/>
      <name val="Arial"/>
      <family val="2"/>
      <scheme val="minor"/>
    </font>
    <font>
      <sz val="12"/>
      <color theme="0" tint="-0.249977111117893"/>
      <name val="Calibri"/>
      <family val="2"/>
    </font>
    <font>
      <u/>
      <sz val="12"/>
      <color theme="0" tint="-0.249977111117893"/>
      <name val="Calibri"/>
      <family val="2"/>
    </font>
    <font>
      <u/>
      <sz val="9"/>
      <color theme="0" tint="-0.249977111117893"/>
      <name val="Verdana"/>
      <family val="2"/>
    </font>
    <font>
      <b/>
      <u/>
      <sz val="12"/>
      <color theme="0" tint="-0.249977111117893"/>
      <name val="Calibri"/>
      <family val="2"/>
    </font>
    <font>
      <u/>
      <sz val="10"/>
      <color theme="0" tint="-0.249977111117893"/>
      <name val="Arial"/>
      <family val="2"/>
    </font>
    <font>
      <sz val="9"/>
      <color theme="0" tint="-0.249977111117893"/>
      <name val="Verdana"/>
      <family val="2"/>
    </font>
    <font>
      <b/>
      <sz val="12"/>
      <name val="Calibri"/>
      <family val="2"/>
    </font>
    <font>
      <b/>
      <sz val="10"/>
      <name val="Arial"/>
      <family val="2"/>
      <scheme val="minor"/>
    </font>
    <font>
      <b/>
      <sz val="22"/>
      <name val="Arial"/>
      <family val="2"/>
      <scheme val="minor"/>
    </font>
    <font>
      <b/>
      <sz val="16"/>
      <name val="Arial"/>
      <family val="2"/>
      <scheme val="minor"/>
    </font>
    <font>
      <strike/>
      <sz val="12"/>
      <color rgb="FFFF0000"/>
      <name val="Calibri"/>
      <family val="2"/>
    </font>
    <font>
      <strike/>
      <u/>
      <sz val="12"/>
      <color rgb="FFFF0000"/>
      <name val="Arial"/>
      <family val="2"/>
      <scheme val="minor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3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0" fillId="0" borderId="0"/>
  </cellStyleXfs>
  <cellXfs count="199">
    <xf numFmtId="0" fontId="0" fillId="0" borderId="0" xfId="0"/>
    <xf numFmtId="0" fontId="5" fillId="0" borderId="0" xfId="0" applyFont="1" applyAlignment="1">
      <alignment horizontal="center"/>
    </xf>
    <xf numFmtId="0" fontId="12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4" fontId="33" fillId="0" borderId="0" xfId="0" applyNumberFormat="1" applyFont="1" applyAlignment="1">
      <alignment vertical="center" wrapText="1"/>
    </xf>
    <xf numFmtId="164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21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27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1" fillId="6" borderId="7" xfId="1" applyFont="1" applyFill="1" applyBorder="1" applyAlignment="1">
      <alignment vertical="center" wrapText="1"/>
    </xf>
    <xf numFmtId="0" fontId="31" fillId="5" borderId="7" xfId="1" applyFont="1" applyFill="1" applyBorder="1" applyAlignment="1">
      <alignment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32" fillId="5" borderId="7" xfId="1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2" fillId="7" borderId="7" xfId="1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7" fillId="8" borderId="6" xfId="0" applyFont="1" applyFill="1" applyBorder="1" applyAlignment="1">
      <alignment horizontal="left" vertical="center" wrapText="1"/>
    </xf>
    <xf numFmtId="0" fontId="38" fillId="9" borderId="14" xfId="0" applyFont="1" applyFill="1" applyBorder="1" applyAlignment="1">
      <alignment horizontal="center" vertical="center" wrapText="1"/>
    </xf>
    <xf numFmtId="164" fontId="38" fillId="9" borderId="15" xfId="0" applyNumberFormat="1" applyFont="1" applyFill="1" applyBorder="1" applyAlignment="1">
      <alignment horizontal="center" vertical="center" wrapText="1"/>
    </xf>
    <xf numFmtId="0" fontId="38" fillId="9" borderId="15" xfId="0" applyFont="1" applyFill="1" applyBorder="1" applyAlignment="1">
      <alignment horizontal="center" vertical="center" wrapText="1"/>
    </xf>
    <xf numFmtId="0" fontId="38" fillId="9" borderId="16" xfId="0" applyFont="1" applyFill="1" applyBorder="1" applyAlignment="1">
      <alignment horizontal="left" vertical="center" wrapText="1"/>
    </xf>
    <xf numFmtId="0" fontId="39" fillId="9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41" fillId="0" borderId="17" xfId="0" applyFont="1" applyBorder="1"/>
    <xf numFmtId="0" fontId="41" fillId="0" borderId="17" xfId="0" applyFont="1" applyBorder="1" applyAlignment="1">
      <alignment horizontal="center"/>
    </xf>
    <xf numFmtId="0" fontId="40" fillId="5" borderId="17" xfId="0" applyFont="1" applyFill="1" applyBorder="1"/>
    <xf numFmtId="0" fontId="40" fillId="5" borderId="17" xfId="0" applyFont="1" applyFill="1" applyBorder="1" applyAlignment="1">
      <alignment horizontal="center"/>
    </xf>
    <xf numFmtId="0" fontId="41" fillId="5" borderId="17" xfId="0" applyFont="1" applyFill="1" applyBorder="1" applyAlignment="1">
      <alignment horizontal="center"/>
    </xf>
    <xf numFmtId="0" fontId="43" fillId="0" borderId="0" xfId="0" applyFont="1" applyAlignment="1">
      <alignment wrapText="1"/>
    </xf>
    <xf numFmtId="0" fontId="49" fillId="0" borderId="0" xfId="0" applyFont="1" applyAlignment="1">
      <alignment wrapText="1"/>
    </xf>
    <xf numFmtId="0" fontId="42" fillId="0" borderId="17" xfId="0" applyFont="1" applyBorder="1" applyAlignment="1">
      <alignment horizontal="center" wrapText="1"/>
    </xf>
    <xf numFmtId="0" fontId="42" fillId="0" borderId="17" xfId="0" applyFont="1" applyBorder="1" applyAlignment="1">
      <alignment horizontal="left" wrapText="1"/>
    </xf>
    <xf numFmtId="0" fontId="43" fillId="3" borderId="17" xfId="0" applyFont="1" applyFill="1" applyBorder="1" applyAlignment="1">
      <alignment wrapText="1"/>
    </xf>
    <xf numFmtId="0" fontId="44" fillId="0" borderId="17" xfId="0" applyFont="1" applyBorder="1" applyAlignment="1">
      <alignment wrapText="1"/>
    </xf>
    <xf numFmtId="0" fontId="44" fillId="0" borderId="17" xfId="0" applyFont="1" applyBorder="1" applyAlignment="1">
      <alignment horizontal="center" wrapText="1"/>
    </xf>
    <xf numFmtId="0" fontId="44" fillId="0" borderId="17" xfId="0" applyFont="1" applyBorder="1" applyAlignment="1">
      <alignment horizontal="left" wrapText="1"/>
    </xf>
    <xf numFmtId="0" fontId="45" fillId="0" borderId="17" xfId="0" applyFont="1" applyBorder="1" applyAlignment="1">
      <alignment horizontal="left" wrapText="1"/>
    </xf>
    <xf numFmtId="0" fontId="43" fillId="0" borderId="17" xfId="0" applyFont="1" applyBorder="1" applyAlignment="1">
      <alignment wrapText="1"/>
    </xf>
    <xf numFmtId="0" fontId="42" fillId="3" borderId="17" xfId="0" applyFont="1" applyFill="1" applyBorder="1" applyAlignment="1">
      <alignment horizontal="left" wrapText="1"/>
    </xf>
    <xf numFmtId="0" fontId="42" fillId="3" borderId="17" xfId="0" applyFont="1" applyFill="1" applyBorder="1" applyAlignment="1">
      <alignment horizontal="center" wrapText="1"/>
    </xf>
    <xf numFmtId="0" fontId="46" fillId="0" borderId="17" xfId="0" applyFont="1" applyBorder="1" applyAlignment="1">
      <alignment wrapText="1"/>
    </xf>
    <xf numFmtId="0" fontId="47" fillId="0" borderId="17" xfId="0" applyFont="1" applyBorder="1" applyAlignment="1">
      <alignment horizontal="left" wrapText="1"/>
    </xf>
    <xf numFmtId="0" fontId="48" fillId="0" borderId="17" xfId="0" applyFont="1" applyBorder="1" applyAlignment="1">
      <alignment wrapText="1"/>
    </xf>
    <xf numFmtId="0" fontId="50" fillId="0" borderId="17" xfId="0" applyFont="1" applyBorder="1" applyAlignment="1">
      <alignment wrapText="1"/>
    </xf>
    <xf numFmtId="0" fontId="50" fillId="0" borderId="17" xfId="0" applyFont="1" applyBorder="1" applyAlignment="1">
      <alignment horizontal="center" wrapText="1"/>
    </xf>
    <xf numFmtId="0" fontId="50" fillId="0" borderId="17" xfId="0" applyFont="1" applyBorder="1" applyAlignment="1">
      <alignment horizontal="left" wrapText="1"/>
    </xf>
    <xf numFmtId="0" fontId="50" fillId="3" borderId="17" xfId="0" applyFont="1" applyFill="1" applyBorder="1" applyAlignment="1">
      <alignment wrapText="1"/>
    </xf>
    <xf numFmtId="0" fontId="50" fillId="3" borderId="17" xfId="0" applyFont="1" applyFill="1" applyBorder="1" applyAlignment="1">
      <alignment horizontal="left" wrapText="1"/>
    </xf>
    <xf numFmtId="0" fontId="51" fillId="3" borderId="17" xfId="0" applyFont="1" applyFill="1" applyBorder="1" applyAlignment="1">
      <alignment wrapText="1"/>
    </xf>
    <xf numFmtId="0" fontId="52" fillId="0" borderId="18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4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horizontal="left" wrapText="1"/>
    </xf>
    <xf numFmtId="44" fontId="0" fillId="0" borderId="0" xfId="0" applyNumberFormat="1" applyAlignment="1">
      <alignment wrapText="1"/>
    </xf>
    <xf numFmtId="0" fontId="4" fillId="0" borderId="0" xfId="0" applyFont="1" applyAlignment="1">
      <alignment horizontal="left" vertical="top" wrapText="1"/>
    </xf>
    <xf numFmtId="0" fontId="2" fillId="2" borderId="17" xfId="0" applyFont="1" applyFill="1" applyBorder="1" applyAlignment="1">
      <alignment horizontal="left" wrapText="1"/>
    </xf>
    <xf numFmtId="0" fontId="3" fillId="0" borderId="17" xfId="0" applyFont="1" applyBorder="1" applyAlignment="1">
      <alignment horizontal="center" wrapText="1"/>
    </xf>
    <xf numFmtId="44" fontId="3" fillId="0" borderId="17" xfId="0" applyNumberFormat="1" applyFont="1" applyBorder="1" applyAlignment="1">
      <alignment horizontal="center" wrapText="1"/>
    </xf>
    <xf numFmtId="0" fontId="3" fillId="0" borderId="17" xfId="0" applyFont="1" applyBorder="1" applyAlignment="1">
      <alignment vertical="top" wrapText="1"/>
    </xf>
    <xf numFmtId="0" fontId="3" fillId="0" borderId="17" xfId="0" applyFont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44" fontId="3" fillId="3" borderId="17" xfId="0" applyNumberFormat="1" applyFont="1" applyFill="1" applyBorder="1" applyAlignment="1">
      <alignment horizontal="left" vertical="top" wrapText="1"/>
    </xf>
    <xf numFmtId="0" fontId="11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center" wrapText="1"/>
    </xf>
    <xf numFmtId="44" fontId="4" fillId="0" borderId="17" xfId="0" applyNumberFormat="1" applyFont="1" applyBorder="1" applyAlignment="1">
      <alignment horizontal="center" wrapText="1"/>
    </xf>
    <xf numFmtId="0" fontId="6" fillId="0" borderId="17" xfId="0" applyFont="1" applyBorder="1" applyAlignment="1">
      <alignment vertical="top" wrapText="1"/>
    </xf>
    <xf numFmtId="0" fontId="7" fillId="0" borderId="17" xfId="0" applyFont="1" applyBorder="1" applyAlignment="1">
      <alignment horizontal="left" wrapText="1"/>
    </xf>
    <xf numFmtId="0" fontId="4" fillId="0" borderId="17" xfId="0" applyFont="1" applyBorder="1" applyAlignment="1">
      <alignment wrapText="1"/>
    </xf>
    <xf numFmtId="0" fontId="4" fillId="0" borderId="17" xfId="0" applyFont="1" applyBorder="1" applyAlignment="1">
      <alignment vertical="top" wrapText="1"/>
    </xf>
    <xf numFmtId="0" fontId="3" fillId="3" borderId="17" xfId="0" applyFont="1" applyFill="1" applyBorder="1" applyAlignment="1">
      <alignment horizontal="left" wrapText="1"/>
    </xf>
    <xf numFmtId="44" fontId="3" fillId="3" borderId="17" xfId="0" applyNumberFormat="1" applyFont="1" applyFill="1" applyBorder="1" applyAlignment="1">
      <alignment horizontal="left" wrapText="1"/>
    </xf>
    <xf numFmtId="0" fontId="10" fillId="0" borderId="17" xfId="0" applyFont="1" applyBorder="1" applyAlignment="1">
      <alignment horizontal="left" wrapText="1"/>
    </xf>
    <xf numFmtId="0" fontId="3" fillId="3" borderId="17" xfId="0" applyFont="1" applyFill="1" applyBorder="1" applyAlignment="1">
      <alignment vertical="top" wrapText="1"/>
    </xf>
    <xf numFmtId="44" fontId="3" fillId="3" borderId="17" xfId="0" applyNumberFormat="1" applyFont="1" applyFill="1" applyBorder="1" applyAlignment="1">
      <alignment vertical="top" wrapText="1"/>
    </xf>
    <xf numFmtId="0" fontId="12" fillId="0" borderId="17" xfId="0" applyFont="1" applyBorder="1" applyAlignment="1">
      <alignment vertical="top" wrapText="1"/>
    </xf>
    <xf numFmtId="0" fontId="13" fillId="0" borderId="17" xfId="0" applyFont="1" applyBorder="1" applyAlignment="1">
      <alignment wrapText="1"/>
    </xf>
    <xf numFmtId="0" fontId="12" fillId="2" borderId="17" xfId="0" applyFont="1" applyFill="1" applyBorder="1" applyAlignment="1">
      <alignment vertical="top" wrapText="1"/>
    </xf>
    <xf numFmtId="0" fontId="14" fillId="0" borderId="17" xfId="0" applyFont="1" applyBorder="1" applyAlignment="1">
      <alignment vertical="top" wrapText="1"/>
    </xf>
    <xf numFmtId="0" fontId="15" fillId="0" borderId="17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9" fillId="0" borderId="17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0" fontId="22" fillId="0" borderId="17" xfId="0" applyFont="1" applyBorder="1" applyAlignment="1">
      <alignment wrapText="1"/>
    </xf>
    <xf numFmtId="0" fontId="24" fillId="0" borderId="17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3" fillId="3" borderId="17" xfId="0" applyFont="1" applyFill="1" applyBorder="1" applyAlignment="1">
      <alignment wrapText="1"/>
    </xf>
    <xf numFmtId="44" fontId="3" fillId="3" borderId="17" xfId="0" applyNumberFormat="1" applyFont="1" applyFill="1" applyBorder="1" applyAlignment="1">
      <alignment wrapText="1"/>
    </xf>
    <xf numFmtId="0" fontId="25" fillId="0" borderId="17" xfId="0" applyFont="1" applyBorder="1" applyAlignment="1">
      <alignment wrapText="1"/>
    </xf>
    <xf numFmtId="0" fontId="26" fillId="2" borderId="17" xfId="0" applyFont="1" applyFill="1" applyBorder="1" applyAlignment="1">
      <alignment wrapText="1"/>
    </xf>
    <xf numFmtId="0" fontId="2" fillId="0" borderId="17" xfId="0" applyFont="1" applyBorder="1" applyAlignment="1">
      <alignment wrapText="1"/>
    </xf>
    <xf numFmtId="0" fontId="3" fillId="4" borderId="17" xfId="0" applyFont="1" applyFill="1" applyBorder="1" applyAlignment="1">
      <alignment horizontal="center" wrapText="1"/>
    </xf>
    <xf numFmtId="44" fontId="4" fillId="4" borderId="17" xfId="0" applyNumberFormat="1" applyFont="1" applyFill="1" applyBorder="1" applyAlignment="1">
      <alignment horizontal="center" wrapText="1"/>
    </xf>
    <xf numFmtId="0" fontId="4" fillId="0" borderId="17" xfId="0" applyFont="1" applyBorder="1" applyAlignment="1">
      <alignment horizontal="left" wrapText="1"/>
    </xf>
    <xf numFmtId="0" fontId="54" fillId="5" borderId="10" xfId="0" applyFont="1" applyFill="1" applyBorder="1" applyAlignment="1">
      <alignment horizontal="left" vertical="center" wrapText="1"/>
    </xf>
    <xf numFmtId="0" fontId="54" fillId="5" borderId="5" xfId="0" applyFont="1" applyFill="1" applyBorder="1" applyAlignment="1">
      <alignment horizontal="center" vertical="center" wrapText="1"/>
    </xf>
    <xf numFmtId="164" fontId="54" fillId="5" borderId="1" xfId="0" applyNumberFormat="1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vertical="center" wrapText="1"/>
    </xf>
    <xf numFmtId="0" fontId="55" fillId="5" borderId="7" xfId="1" applyFont="1" applyFill="1" applyBorder="1" applyAlignment="1">
      <alignment vertical="center" wrapText="1"/>
    </xf>
    <xf numFmtId="0" fontId="2" fillId="0" borderId="20" xfId="0" applyFont="1" applyBorder="1" applyAlignment="1">
      <alignment horizontal="left" vertical="center" wrapText="1"/>
    </xf>
    <xf numFmtId="164" fontId="4" fillId="4" borderId="22" xfId="0" applyNumberFormat="1" applyFont="1" applyFill="1" applyBorder="1" applyAlignment="1">
      <alignment horizontal="center" vertical="center" wrapText="1"/>
    </xf>
    <xf numFmtId="164" fontId="4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10" fontId="4" fillId="4" borderId="22" xfId="0" applyNumberFormat="1" applyFont="1" applyFill="1" applyBorder="1" applyAlignment="1">
      <alignment horizontal="center" vertical="center" wrapText="1"/>
    </xf>
    <xf numFmtId="9" fontId="3" fillId="4" borderId="21" xfId="0" applyNumberFormat="1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52" fillId="0" borderId="19" xfId="0" applyFont="1" applyBorder="1" applyAlignment="1">
      <alignment horizontal="center" vertical="center" wrapText="1"/>
    </xf>
    <xf numFmtId="0" fontId="0" fillId="0" borderId="19" xfId="0" applyBorder="1"/>
    <xf numFmtId="0" fontId="4" fillId="5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4" fillId="5" borderId="1" xfId="0" applyFont="1" applyFill="1" applyBorder="1" applyAlignment="1">
      <alignment horizontal="left" vertical="center" wrapText="1"/>
    </xf>
    <xf numFmtId="0" fontId="0" fillId="0" borderId="3" xfId="0" applyBorder="1"/>
    <xf numFmtId="164" fontId="4" fillId="5" borderId="1" xfId="0" applyNumberFormat="1" applyFont="1" applyFill="1" applyBorder="1" applyAlignment="1">
      <alignment horizontal="center" vertical="center" wrapText="1"/>
    </xf>
    <xf numFmtId="0" fontId="35" fillId="6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31" fillId="5" borderId="7" xfId="1" applyFont="1" applyFill="1" applyBorder="1" applyAlignment="1">
      <alignment horizontal="left" vertical="center" wrapText="1"/>
    </xf>
    <xf numFmtId="0" fontId="0" fillId="0" borderId="8" xfId="0" applyBorder="1"/>
    <xf numFmtId="0" fontId="4" fillId="6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4" fillId="5" borderId="11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34" fillId="5" borderId="4" xfId="0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0" fillId="0" borderId="13" xfId="0" applyBorder="1"/>
    <xf numFmtId="0" fontId="34" fillId="5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4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2" fillId="0" borderId="0" xfId="0" applyFont="1" applyAlignment="1">
      <alignment horizontal="center" vertical="center" wrapText="1"/>
    </xf>
    <xf numFmtId="0" fontId="43" fillId="0" borderId="0" xfId="0" applyFont="1" applyAlignment="1">
      <alignment wrapText="1"/>
    </xf>
    <xf numFmtId="0" fontId="53" fillId="0" borderId="18" xfId="0" applyFont="1" applyBorder="1" applyAlignment="1">
      <alignment horizontal="center" vertical="center" wrapText="1"/>
    </xf>
    <xf numFmtId="0" fontId="0" fillId="0" borderId="18" xfId="0" applyBorder="1"/>
    <xf numFmtId="0" fontId="52" fillId="0" borderId="18" xfId="0" applyFont="1" applyBorder="1" applyAlignment="1">
      <alignment horizontal="center" vertical="center" wrapText="1"/>
    </xf>
    <xf numFmtId="0" fontId="31" fillId="10" borderId="7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mzn.eu/d/0j7PSHhZ" TargetMode="External"/><Relationship Id="rId18" Type="http://schemas.openxmlformats.org/officeDocument/2006/relationships/hyperlink" Target="https://eu.robotshop.com/products/lakibeam-1-dtof-industry-grade-single-line-lidar" TargetMode="External"/><Relationship Id="rId26" Type="http://schemas.openxmlformats.org/officeDocument/2006/relationships/hyperlink" Target="https://amzn.eu/d/0ak3Mr9H" TargetMode="External"/><Relationship Id="rId21" Type="http://schemas.openxmlformats.org/officeDocument/2006/relationships/hyperlink" Target="https://amzn.eu/d/096jB5FS" TargetMode="External"/><Relationship Id="rId34" Type="http://schemas.openxmlformats.org/officeDocument/2006/relationships/hyperlink" Target="https://www.digikey.it/it/products/detail/orbbec/100100478/23024082?srsltid=AU7gw4WokcDz96KtNyGnA0IWpYbt4VXk_WfC6iO1PVKhbTkxg6MTspV0" TargetMode="External"/><Relationship Id="rId7" Type="http://schemas.openxmlformats.org/officeDocument/2006/relationships/hyperlink" Target="https://drive.google.com/drive/folders/1NU4FZzvMEGKCOFzDBvnjyePnnSMvsZPG?usp=drive_link" TargetMode="External"/><Relationship Id="rId12" Type="http://schemas.openxmlformats.org/officeDocument/2006/relationships/hyperlink" Target="https://amzn.eu/d/02bQy3af" TargetMode="External"/><Relationship Id="rId17" Type="http://schemas.openxmlformats.org/officeDocument/2006/relationships/hyperlink" Target="https://eu.robotshop.com/products/lakibeam-1l-dtof-industry-grade-single-line-lidar" TargetMode="External"/><Relationship Id="rId25" Type="http://schemas.openxmlformats.org/officeDocument/2006/relationships/hyperlink" Target="https://amzn.eu/d/02tJmKlW" TargetMode="External"/><Relationship Id="rId33" Type="http://schemas.openxmlformats.org/officeDocument/2006/relationships/hyperlink" Target="https://openelab.io/products/orbbec-gemini-335l-stereo-camera?srsltid=AU7gw4WV_LMucG3H9iXtPq4gxBth5IaVVh1p7ClCoNp5OEf0dFrP1rbj" TargetMode="External"/><Relationship Id="rId2" Type="http://schemas.openxmlformats.org/officeDocument/2006/relationships/hyperlink" Target="https://rueil-modelisme.com/electrique-tt-pret-a-rouler/7155-ford-fiesta-st-rally-vxl-id-rtr-74276-4-traxxas.html" TargetMode="External"/><Relationship Id="rId16" Type="http://schemas.openxmlformats.org/officeDocument/2006/relationships/hyperlink" Target="https://eu.robotshop.com/products/orbbec-pulsar-sl450-single-line-lidar-robotic-navigation" TargetMode="External"/><Relationship Id="rId20" Type="http://schemas.openxmlformats.org/officeDocument/2006/relationships/hyperlink" Target="https://trampaboards.com/vesc-6-mkv-in-cnc-t6-silicone-sealed-aluminium-box-with-genuine-xt90-connectors--vedder-electronic-speed-controller-trampa-special-p-27536.html" TargetMode="External"/><Relationship Id="rId29" Type="http://schemas.openxmlformats.org/officeDocument/2006/relationships/hyperlink" Target="https://trampaboards.com/maytech-to-vesc-150mm-ppm-extension-cable--silicon-cable-24-awg-blackredwhite-p-24329.html" TargetMode="External"/><Relationship Id="rId1" Type="http://schemas.openxmlformats.org/officeDocument/2006/relationships/hyperlink" Target="https://www.modellismo.it/visualizza_oggetto.php?cod=TXX74276-4-GRN&amp;dove=%2Fprodotti%2Ftraxxas&amp;lingua=ita" TargetMode="External"/><Relationship Id="rId6" Type="http://schemas.openxmlformats.org/officeDocument/2006/relationships/hyperlink" Target="https://drive.google.com/drive/folders/1sy-XiJJ4hmhEKf5qQbUaPYY6Aw-L31Gk?usp=drive_link" TargetMode="External"/><Relationship Id="rId11" Type="http://schemas.openxmlformats.org/officeDocument/2006/relationships/hyperlink" Target="https://amzn.eu/d/04Ugqb5h" TargetMode="External"/><Relationship Id="rId24" Type="http://schemas.openxmlformats.org/officeDocument/2006/relationships/hyperlink" Target="https://amzn.eu/d/0ibdH4zI" TargetMode="External"/><Relationship Id="rId32" Type="http://schemas.openxmlformats.org/officeDocument/2006/relationships/hyperlink" Target="https://amzn.eu/d/0imA4WsT" TargetMode="External"/><Relationship Id="rId37" Type="http://schemas.openxmlformats.org/officeDocument/2006/relationships/hyperlink" Target="https://www.vevor.it/tubo-condotto-flessibile-c_10371/tubo-condotto-pvc-flexible-32-piedi-30cm-ventilatore-assiale-exhaust-hose-p_010750193881" TargetMode="External"/><Relationship Id="rId5" Type="http://schemas.openxmlformats.org/officeDocument/2006/relationships/hyperlink" Target="https://amzn.eu/d/0idbDFfg" TargetMode="External"/><Relationship Id="rId15" Type="http://schemas.openxmlformats.org/officeDocument/2006/relationships/hyperlink" Target="https://www.robotshop.com/en/hokuyo-ust-10lx-scanning-laser-rangefinder.html" TargetMode="External"/><Relationship Id="rId23" Type="http://schemas.openxmlformats.org/officeDocument/2006/relationships/hyperlink" Target="https://amzn.eu/d/04H49Gdl" TargetMode="External"/><Relationship Id="rId28" Type="http://schemas.openxmlformats.org/officeDocument/2006/relationships/hyperlink" Target="https://amzn.eu/d/096zo9ar" TargetMode="External"/><Relationship Id="rId36" Type="http://schemas.openxmlformats.org/officeDocument/2006/relationships/hyperlink" Target="https://amzn.eu/d/0hhUO5Xc" TargetMode="External"/><Relationship Id="rId10" Type="http://schemas.openxmlformats.org/officeDocument/2006/relationships/hyperlink" Target="https://amzn.eu/d/0934urF9" TargetMode="External"/><Relationship Id="rId19" Type="http://schemas.openxmlformats.org/officeDocument/2006/relationships/hyperlink" Target="https://orders.ambimat.com/product/roboracer-power-board-multi-qty-rohs-compliant/" TargetMode="External"/><Relationship Id="rId31" Type="http://schemas.openxmlformats.org/officeDocument/2006/relationships/hyperlink" Target="https://amzn.eu/d/03RNgWbz" TargetMode="External"/><Relationship Id="rId4" Type="http://schemas.openxmlformats.org/officeDocument/2006/relationships/hyperlink" Target="https://amzn.eu/d/04ogTQuG" TargetMode="External"/><Relationship Id="rId9" Type="http://schemas.openxmlformats.org/officeDocument/2006/relationships/hyperlink" Target="https://amzn.eu/d/0hnQ0stW" TargetMode="External"/><Relationship Id="rId14" Type="http://schemas.openxmlformats.org/officeDocument/2006/relationships/hyperlink" Target="https://www.arrow.com/en/products/945-13766-0000-000/nvidia.html" TargetMode="External"/><Relationship Id="rId22" Type="http://schemas.openxmlformats.org/officeDocument/2006/relationships/hyperlink" Target="https://amzn.eu/d/0dPEUR2n" TargetMode="External"/><Relationship Id="rId27" Type="http://schemas.openxmlformats.org/officeDocument/2006/relationships/hyperlink" Target="https://amzn.eu/d/0g7w5ZpY" TargetMode="External"/><Relationship Id="rId30" Type="http://schemas.openxmlformats.org/officeDocument/2006/relationships/hyperlink" Target="https://amzn.eu/d/09g0oNKo" TargetMode="External"/><Relationship Id="rId35" Type="http://schemas.openxmlformats.org/officeDocument/2006/relationships/hyperlink" Target="https://amzn.eu/d/0cvPlFlt" TargetMode="External"/><Relationship Id="rId8" Type="http://schemas.openxmlformats.org/officeDocument/2006/relationships/hyperlink" Target="https://amzn.eu/d/09jG02MS" TargetMode="External"/><Relationship Id="rId3" Type="http://schemas.openxmlformats.org/officeDocument/2006/relationships/hyperlink" Target="https://www.evocrc.com/rallye/145037-ford-fiesta-st-rally-vert-brushless-vxl-3s-rtr-traxxas-74276-4-grn-110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iExcell-Stainless-Socket-Screws-Assortment/dp/B07SBQ1JX5/ref=sr_1_5?crid=1NZXVWZG931FW&amp;keywords=m5+socket+head&amp;qid=1583273500&amp;s=industrial&amp;sprefix=m5+socket%2Cindustrial%2C134&amp;sr=1-5" TargetMode="External"/><Relationship Id="rId13" Type="http://schemas.openxmlformats.org/officeDocument/2006/relationships/hyperlink" Target="https://www.mcmaster.com/95947A005/" TargetMode="External"/><Relationship Id="rId18" Type="http://schemas.openxmlformats.org/officeDocument/2006/relationships/hyperlink" Target="https://orders.ambimat.com/product/f1tenth-power-board-rohs-com-multipliant/" TargetMode="External"/><Relationship Id="rId26" Type="http://schemas.openxmlformats.org/officeDocument/2006/relationships/hyperlink" Target="https://store.realsenseai.com/buy-intel-realsense-depth-camera-d435i.html" TargetMode="External"/><Relationship Id="rId3" Type="http://schemas.openxmlformats.org/officeDocument/2006/relationships/hyperlink" Target="https://a.co/d/07viD7OJ" TargetMode="External"/><Relationship Id="rId21" Type="http://schemas.openxmlformats.org/officeDocument/2006/relationships/hyperlink" Target="https://a.co/d/04eI03bz" TargetMode="External"/><Relationship Id="rId7" Type="http://schemas.openxmlformats.org/officeDocument/2006/relationships/hyperlink" Target="https://a.co/d/0ePVll7A" TargetMode="External"/><Relationship Id="rId12" Type="http://schemas.openxmlformats.org/officeDocument/2006/relationships/hyperlink" Target="https://www.mcmaster.com/94500A213/" TargetMode="External"/><Relationship Id="rId17" Type="http://schemas.openxmlformats.org/officeDocument/2006/relationships/hyperlink" Target="https://www.robotshop.com/en/hokuyo-ust-10lx-scanning-laser-rangefinder.html" TargetMode="External"/><Relationship Id="rId25" Type="http://schemas.openxmlformats.org/officeDocument/2006/relationships/hyperlink" Target="https://www.amazon.com/Antenna-MHF4-IPEX-Wireless-Repeater/dp/B07V1W759Z/ref=as_li_ss_tl?dchild=1&amp;keywords=7dBi+2.4GHz+5GHz+5.8G+Dual+Band+WiFi+RP-SMA+Male+High+Gain+Antenna+&amp;+MHF4+IPEX+4+to+RP+SMA+Female+Cable+Antenna+for+NGFF+M.2+AX200+9260+WiFi+Card+Wireless+Routers+PC+Repeater+Desktop+PC+FPV+UAV+Drone&amp;qid=1599076820&amp;sr=8-1&amp;linkCode=sl1&amp;tag=jetsonhacks-20&amp;linkId=b71a94c6b3d354e2289b3843f50d3feb&amp;language=en_US" TargetMode="External"/><Relationship Id="rId2" Type="http://schemas.openxmlformats.org/officeDocument/2006/relationships/hyperlink" Target="https://traxxas.com/products/landing/fiesta-st-rally-vxl/" TargetMode="External"/><Relationship Id="rId16" Type="http://schemas.openxmlformats.org/officeDocument/2006/relationships/hyperlink" Target="https://www.sick.com/us/en/catalog/products/lidar-and-radar-sensors/lidar-sensors/tim/tim571-2050101/p/p412444)" TargetMode="External"/><Relationship Id="rId20" Type="http://schemas.openxmlformats.org/officeDocument/2006/relationships/hyperlink" Target="https://www.amazon.com/dp/B0125JFATY?ref_=cm_sw_r_cp_ud_dp_G02PWZHS0QYTE05B0CMV" TargetMode="External"/><Relationship Id="rId29" Type="http://schemas.openxmlformats.org/officeDocument/2006/relationships/hyperlink" Target="https://trampaboards.com/maytech-to-vesc-150mm-ppm-extension-cable--silicon-cable-24-awg-blackredwhite-p-24329.html" TargetMode="External"/><Relationship Id="rId1" Type="http://schemas.openxmlformats.org/officeDocument/2006/relationships/hyperlink" Target="https://traxxas.com/68277-4-slash-4x4-vxl-ultimate" TargetMode="External"/><Relationship Id="rId6" Type="http://schemas.openxmlformats.org/officeDocument/2006/relationships/hyperlink" Target="https://drive.google.com/drive/folders/1NU4FZzvMEGKCOFzDBvnjyePnnSMvsZPG?usp=drive_link" TargetMode="External"/><Relationship Id="rId11" Type="http://schemas.openxmlformats.org/officeDocument/2006/relationships/hyperlink" Target="https://www.mcmaster.com/94868A190" TargetMode="External"/><Relationship Id="rId24" Type="http://schemas.openxmlformats.org/officeDocument/2006/relationships/hyperlink" Target="https://a.co/d/04z1CrzG" TargetMode="External"/><Relationship Id="rId32" Type="http://schemas.openxmlformats.org/officeDocument/2006/relationships/hyperlink" Target="https://www.amainhobbies.com/bullet-adapter-4mm-male-3.5mm-female-3-gpmm3123/p608341" TargetMode="External"/><Relationship Id="rId5" Type="http://schemas.openxmlformats.org/officeDocument/2006/relationships/hyperlink" Target="https://drive.google.com/drive/folders/1sy-XiJJ4hmhEKf5qQbUaPYY6Aw-L31Gk?usp=drive_link" TargetMode="External"/><Relationship Id="rId15" Type="http://schemas.openxmlformats.org/officeDocument/2006/relationships/hyperlink" Target="https://a.co/d/0fV5xrP8" TargetMode="External"/><Relationship Id="rId23" Type="http://schemas.openxmlformats.org/officeDocument/2006/relationships/hyperlink" Target="https://a.co/d/08r6C0zE" TargetMode="External"/><Relationship Id="rId28" Type="http://schemas.openxmlformats.org/officeDocument/2006/relationships/hyperlink" Target="https://www.adafruit.com/product/3893" TargetMode="External"/><Relationship Id="rId10" Type="http://schemas.openxmlformats.org/officeDocument/2006/relationships/hyperlink" Target="https://www.mcmaster.com/94868A013" TargetMode="External"/><Relationship Id="rId19" Type="http://schemas.openxmlformats.org/officeDocument/2006/relationships/hyperlink" Target="https://trampaboards.com/vesc-6-mkv-in-cnc-t6-silicone-sealed-aluminium-box-with-genuine-xt90-connectors--vedder-electronic-speed-controller-trampa-special-p-27536.html" TargetMode="External"/><Relationship Id="rId31" Type="http://schemas.openxmlformats.org/officeDocument/2006/relationships/hyperlink" Target="https://a.co/d/0hjc5X8u" TargetMode="External"/><Relationship Id="rId4" Type="http://schemas.openxmlformats.org/officeDocument/2006/relationships/hyperlink" Target="https://a.co/d/04M3SdSJ" TargetMode="External"/><Relationship Id="rId9" Type="http://schemas.openxmlformats.org/officeDocument/2006/relationships/hyperlink" Target="https://www.mcmaster.com/94868A009" TargetMode="External"/><Relationship Id="rId14" Type="http://schemas.openxmlformats.org/officeDocument/2006/relationships/hyperlink" Target="https://www.sparkfun.com/products/22098" TargetMode="External"/><Relationship Id="rId22" Type="http://schemas.openxmlformats.org/officeDocument/2006/relationships/hyperlink" Target="https://a.co/d/0gqCuJEP" TargetMode="External"/><Relationship Id="rId27" Type="http://schemas.openxmlformats.org/officeDocument/2006/relationships/hyperlink" Target="https://www.amazon.com/DIKAVS-Break-Headers-Header-Connector/dp/B076F64ZCJ/ref=sr_1_20?keywords=header+pins&amp;link_code=qs&amp;qid=1583274210&amp;sr=8-20" TargetMode="External"/><Relationship Id="rId30" Type="http://schemas.openxmlformats.org/officeDocument/2006/relationships/hyperlink" Target="https://www.amazon.com/FUERAN-DP-DisplayPort-emulator-2560x1600/dp/B071CGCTMY/ref=sr_1_1_sspa?crid=14AY29OV7GI7J&amp;dib=eyJ2IjoiMSJ9.Nzn1r1ELg1nz3QfKElQDdR5Ki8mvEs-7rtHL2pdHoxp8QRd4r7m0xn08kWOAS2eHMM9W9X-Z_Sbt1gaplwMw2dbNX-If8Z6rl9dJTs7QQcE5Dr3v_vqY4eNv81s6QZOK872dyUFU5IZ3MrhLtD5UmszxscCMqhty5VS4p9D0WCsx-Cfyk11fDAw6sdqHVSlaCuW3IoK0i8_GrkO63iAEKkidFCNS6Wlis6INdyeGFdg.syehI3t7uokfanpuBaxCdSpwbEn5mHRbN2fnL1qDF8U&amp;dib_tag=se&amp;keywords=display+port+emulator&amp;qid=1718041775&amp;sprefix=display+por+emulator%2Caps%2C72&amp;sr=8-1-spons&amp;sp_csd=d2lkZ2V0TmFtZT1zcF9hdGY&amp;psc=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mazonBasics-High-Speed-HDMI-Cable-1-Pack/dp/B014I8SSD0/ref=sr_1_3?crid=XMSL2XRHT8JC&amp;keywords=hdmi+to+hdmi+cable&amp;qid=1547846882&amp;s=Electronics&amp;sprefix=hdmi+to+h%2Celectronics%2C198&amp;sr=1-3" TargetMode="External"/><Relationship Id="rId3" Type="http://schemas.openxmlformats.org/officeDocument/2006/relationships/hyperlink" Target="https://www.ifixit.com/Store/Tools/T3-Torx-Screwdriver/IF145-041-2" TargetMode="External"/><Relationship Id="rId7" Type="http://schemas.openxmlformats.org/officeDocument/2006/relationships/hyperlink" Target="https://trackmateracing.com/shop/en/r-c-lap-counter-transponder-system/122-759-rc-lap-counter.html" TargetMode="External"/><Relationship Id="rId2" Type="http://schemas.openxmlformats.org/officeDocument/2006/relationships/hyperlink" Target="https://www.hnstools.com/klein-tools-slim-jaw-adjustable-wrench-d86932/detail" TargetMode="External"/><Relationship Id="rId1" Type="http://schemas.openxmlformats.org/officeDocument/2006/relationships/hyperlink" Target="https://www.amazon.com/HORUSDY-100-Piece-Screwdriver-screwdriver-Electrician/dp/B07BT2VPTV/ref=sr_1_18?keywords=screwdriver+set&amp;qid=1547760416&amp;s=Home+Improvement&amp;sr=1-18" TargetMode="External"/><Relationship Id="rId6" Type="http://schemas.openxmlformats.org/officeDocument/2006/relationships/hyperlink" Target="https://nextleveltiming.com/" TargetMode="External"/><Relationship Id="rId5" Type="http://schemas.openxmlformats.org/officeDocument/2006/relationships/hyperlink" Target="https://www.dropbox.com/s/z07opm0f2e17y7y/F1-10%20pop-up%20racetrack.mp4?dl=0" TargetMode="External"/><Relationship Id="rId10" Type="http://schemas.openxmlformats.org/officeDocument/2006/relationships/hyperlink" Target="https://www.amazon.com/Duratrax-Tech-Deluxe-Truck-Stand/dp/B0014T74MS/ref=sr_1_8?keywords=rc+car+jack&amp;link_code=qs&amp;qid=1583767342&amp;sr=8-8" TargetMode="External"/><Relationship Id="rId4" Type="http://schemas.openxmlformats.org/officeDocument/2006/relationships/hyperlink" Target="https://drive.google.com/drive/folders/1nt0ZO4beQ2dVvx_JtG515-q1HvWNrgP5?usp=sharing" TargetMode="External"/><Relationship Id="rId9" Type="http://schemas.openxmlformats.org/officeDocument/2006/relationships/hyperlink" Target="https://www.amazon.com/AmazonBasics-RJ45-Cat-6-Ethernet-Patch-Cable-5-Feet-1-5-Meters/dp/B00N2VILDM/ref=sxin_2?crid=1MTI9ZFERYQYG&amp;keywords=ethernet+cable&amp;pd_rd_i=B00N2VILDM&amp;pd_rd_r=07517f04-f0f1-49c9-957c-3c7a7f9f0aa4&amp;pd_rd_w=TbDx5&amp;pd_rd_wg=Rcds0&amp;pf_rd_p=70355792-caa9-41b7-bbcc-bee9ee21b884&amp;pf_rd_r=P1CTKHHA2N5S84FM73E9&amp;qid=1547846839&amp;s=Electronics&amp;sprefix=ethernet%2Celectronics%2C1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Q254"/>
  <sheetViews>
    <sheetView tabSelected="1" zoomScale="110" zoomScaleNormal="100" workbookViewId="0">
      <pane xSplit="2" topLeftCell="C1" activePane="topRight" state="frozen"/>
      <selection pane="topRight" activeCell="D13" sqref="D13"/>
    </sheetView>
  </sheetViews>
  <sheetFormatPr baseColWidth="10" defaultColWidth="12.6640625" defaultRowHeight="16" x14ac:dyDescent="0.15"/>
  <cols>
    <col min="1" max="1" width="4.5" style="21" customWidth="1"/>
    <col min="2" max="2" width="39.1640625" style="27" customWidth="1"/>
    <col min="3" max="3" width="8.83203125" style="21" customWidth="1"/>
    <col min="4" max="5" width="17.5" style="25" customWidth="1"/>
    <col min="6" max="6" width="6.33203125" style="26" customWidth="1"/>
    <col min="7" max="7" width="128.33203125" style="21" customWidth="1"/>
    <col min="8" max="8" width="145.1640625" style="8" customWidth="1"/>
    <col min="9" max="9" width="12.6640625" style="21" customWidth="1"/>
    <col min="10" max="16384" width="12.6640625" style="21"/>
  </cols>
  <sheetData>
    <row r="2" spans="1:8" s="74" customFormat="1" ht="47" customHeight="1" thickBot="1" x14ac:dyDescent="0.2">
      <c r="A2" s="95"/>
      <c r="B2" s="168" t="s">
        <v>0</v>
      </c>
      <c r="C2" s="169"/>
      <c r="D2" s="169"/>
      <c r="E2" s="169"/>
      <c r="F2" s="169"/>
      <c r="G2" s="169"/>
      <c r="H2" s="169"/>
    </row>
    <row r="3" spans="1:8" s="33" customFormat="1" ht="23" customHeight="1" thickBot="1" x14ac:dyDescent="0.2">
      <c r="B3" s="61" t="s">
        <v>1</v>
      </c>
      <c r="C3" s="62" t="s">
        <v>2</v>
      </c>
      <c r="D3" s="63" t="s">
        <v>3</v>
      </c>
      <c r="E3" s="63" t="s">
        <v>4</v>
      </c>
      <c r="F3" s="63" t="s">
        <v>5</v>
      </c>
      <c r="G3" s="64" t="s">
        <v>6</v>
      </c>
      <c r="H3" s="65" t="s">
        <v>7</v>
      </c>
    </row>
    <row r="4" spans="1:8" ht="17" customHeight="1" x14ac:dyDescent="0.15">
      <c r="B4" s="55" t="s">
        <v>8</v>
      </c>
      <c r="C4" s="56"/>
      <c r="D4" s="57"/>
      <c r="E4" s="57"/>
      <c r="F4" s="58"/>
      <c r="G4" s="59"/>
      <c r="H4" s="60"/>
    </row>
    <row r="5" spans="1:8" ht="17" customHeight="1" x14ac:dyDescent="0.15">
      <c r="B5" s="179" t="s">
        <v>9</v>
      </c>
      <c r="C5" s="49">
        <v>1</v>
      </c>
      <c r="D5" s="16">
        <v>479.9</v>
      </c>
      <c r="E5" s="16">
        <f t="shared" ref="E5:E11" si="0">C5*D5</f>
        <v>479.9</v>
      </c>
      <c r="F5" s="16"/>
      <c r="G5" s="175" t="s">
        <v>188</v>
      </c>
      <c r="H5" s="40" t="s">
        <v>10</v>
      </c>
    </row>
    <row r="6" spans="1:8" ht="17" customHeight="1" x14ac:dyDescent="0.15">
      <c r="B6" s="180"/>
      <c r="C6" s="49">
        <v>1</v>
      </c>
      <c r="D6" s="16">
        <v>425</v>
      </c>
      <c r="E6" s="16">
        <f t="shared" si="0"/>
        <v>425</v>
      </c>
      <c r="F6" s="16" t="s">
        <v>11</v>
      </c>
      <c r="G6" s="176"/>
      <c r="H6" s="40" t="s">
        <v>12</v>
      </c>
    </row>
    <row r="7" spans="1:8" ht="17" customHeight="1" x14ac:dyDescent="0.15">
      <c r="B7" s="180"/>
      <c r="C7" s="49">
        <v>1</v>
      </c>
      <c r="D7" s="16">
        <v>425</v>
      </c>
      <c r="E7" s="16">
        <f t="shared" si="0"/>
        <v>425</v>
      </c>
      <c r="F7" s="16"/>
      <c r="G7" s="176"/>
      <c r="H7" s="40" t="s">
        <v>13</v>
      </c>
    </row>
    <row r="8" spans="1:8" ht="17" customHeight="1" x14ac:dyDescent="0.15">
      <c r="B8" s="53" t="s">
        <v>14</v>
      </c>
      <c r="C8" s="50">
        <v>1</v>
      </c>
      <c r="D8" s="14">
        <v>88.99</v>
      </c>
      <c r="E8" s="14">
        <f t="shared" si="0"/>
        <v>88.99</v>
      </c>
      <c r="F8" s="14" t="s">
        <v>11</v>
      </c>
      <c r="G8" s="13"/>
      <c r="H8" s="41" t="s">
        <v>15</v>
      </c>
    </row>
    <row r="9" spans="1:8" ht="17" customHeight="1" x14ac:dyDescent="0.15">
      <c r="B9" s="54" t="s">
        <v>16</v>
      </c>
      <c r="C9" s="49">
        <v>1</v>
      </c>
      <c r="D9" s="16">
        <v>69.989999999999995</v>
      </c>
      <c r="E9" s="16">
        <f t="shared" si="0"/>
        <v>69.989999999999995</v>
      </c>
      <c r="F9" s="16" t="s">
        <v>11</v>
      </c>
      <c r="G9" s="15"/>
      <c r="H9" s="40" t="s">
        <v>17</v>
      </c>
    </row>
    <row r="10" spans="1:8" ht="17" customHeight="1" x14ac:dyDescent="0.15">
      <c r="B10" s="53" t="s">
        <v>18</v>
      </c>
      <c r="C10" s="50">
        <v>1</v>
      </c>
      <c r="D10" s="14">
        <v>10</v>
      </c>
      <c r="E10" s="14">
        <f t="shared" si="0"/>
        <v>10</v>
      </c>
      <c r="F10" s="14" t="s">
        <v>11</v>
      </c>
      <c r="G10" s="13" t="s">
        <v>19</v>
      </c>
      <c r="H10" s="42" t="s">
        <v>20</v>
      </c>
    </row>
    <row r="11" spans="1:8" ht="17" customHeight="1" x14ac:dyDescent="0.15">
      <c r="B11" s="54" t="s">
        <v>21</v>
      </c>
      <c r="C11" s="49">
        <v>1</v>
      </c>
      <c r="D11" s="16">
        <v>20</v>
      </c>
      <c r="E11" s="16">
        <f t="shared" si="0"/>
        <v>20</v>
      </c>
      <c r="F11" s="16" t="s">
        <v>11</v>
      </c>
      <c r="G11" s="15" t="s">
        <v>22</v>
      </c>
      <c r="H11" s="43" t="s">
        <v>23</v>
      </c>
    </row>
    <row r="12" spans="1:8" ht="17" customHeight="1" x14ac:dyDescent="0.15">
      <c r="B12" s="52" t="s">
        <v>24</v>
      </c>
      <c r="C12" s="48"/>
      <c r="D12" s="6"/>
      <c r="E12" s="6"/>
      <c r="F12" s="20"/>
      <c r="G12" s="5"/>
      <c r="H12" s="39"/>
    </row>
    <row r="13" spans="1:8" ht="17" customHeight="1" x14ac:dyDescent="0.15">
      <c r="B13" s="53" t="s">
        <v>25</v>
      </c>
      <c r="C13" s="50">
        <v>1</v>
      </c>
      <c r="D13" s="14">
        <v>13</v>
      </c>
      <c r="E13" s="14">
        <f>C13*D13</f>
        <v>13</v>
      </c>
      <c r="F13" s="14" t="s">
        <v>11</v>
      </c>
      <c r="G13" s="13" t="s">
        <v>26</v>
      </c>
      <c r="H13" s="41" t="s">
        <v>27</v>
      </c>
    </row>
    <row r="14" spans="1:8" ht="17" customHeight="1" x14ac:dyDescent="0.15">
      <c r="B14" s="54" t="s">
        <v>28</v>
      </c>
      <c r="C14" s="49">
        <v>1</v>
      </c>
      <c r="D14" s="16">
        <v>16</v>
      </c>
      <c r="E14" s="16">
        <f>C14*D14</f>
        <v>16</v>
      </c>
      <c r="F14" s="16" t="s">
        <v>11</v>
      </c>
      <c r="G14" s="15" t="s">
        <v>29</v>
      </c>
      <c r="H14" s="40" t="s">
        <v>30</v>
      </c>
    </row>
    <row r="15" spans="1:8" ht="17" customHeight="1" x14ac:dyDescent="0.15">
      <c r="B15" s="53" t="s">
        <v>31</v>
      </c>
      <c r="C15" s="170">
        <v>1</v>
      </c>
      <c r="D15" s="174">
        <v>12</v>
      </c>
      <c r="E15" s="174">
        <f>C15*D15</f>
        <v>12</v>
      </c>
      <c r="F15" s="174" t="s">
        <v>11</v>
      </c>
      <c r="G15" s="172" t="s">
        <v>32</v>
      </c>
      <c r="H15" s="177" t="s">
        <v>33</v>
      </c>
    </row>
    <row r="16" spans="1:8" ht="17" customHeight="1" x14ac:dyDescent="0.15">
      <c r="B16" s="53" t="s">
        <v>34</v>
      </c>
      <c r="C16" s="171"/>
      <c r="D16" s="173"/>
      <c r="E16" s="173"/>
      <c r="F16" s="173"/>
      <c r="G16" s="173"/>
      <c r="H16" s="178"/>
    </row>
    <row r="17" spans="2:17" ht="17" customHeight="1" x14ac:dyDescent="0.15">
      <c r="B17" s="54" t="s">
        <v>35</v>
      </c>
      <c r="C17" s="49">
        <v>1</v>
      </c>
      <c r="D17" s="16">
        <v>14.39</v>
      </c>
      <c r="E17" s="16">
        <f>C17*D17</f>
        <v>14.39</v>
      </c>
      <c r="F17" s="16" t="s">
        <v>11</v>
      </c>
      <c r="G17" s="15" t="s">
        <v>36</v>
      </c>
      <c r="H17" s="40" t="s">
        <v>37</v>
      </c>
    </row>
    <row r="18" spans="2:17" ht="34" customHeight="1" x14ac:dyDescent="0.15">
      <c r="B18" s="53" t="s">
        <v>38</v>
      </c>
      <c r="C18" s="50">
        <v>1</v>
      </c>
      <c r="D18" s="14">
        <v>9.7899999999999991</v>
      </c>
      <c r="E18" s="14">
        <f>C18*D18</f>
        <v>9.7899999999999991</v>
      </c>
      <c r="F18" s="14" t="s">
        <v>11</v>
      </c>
      <c r="G18" s="13" t="s">
        <v>39</v>
      </c>
      <c r="H18" s="41" t="s">
        <v>40</v>
      </c>
    </row>
    <row r="19" spans="2:17" ht="17" customHeight="1" x14ac:dyDescent="0.15">
      <c r="B19" s="54" t="s">
        <v>41</v>
      </c>
      <c r="C19" s="49">
        <v>1</v>
      </c>
      <c r="D19" s="16">
        <v>8.9</v>
      </c>
      <c r="E19" s="16">
        <f>C19*D19</f>
        <v>8.9</v>
      </c>
      <c r="F19" s="16" t="s">
        <v>11</v>
      </c>
      <c r="G19" s="15" t="s">
        <v>42</v>
      </c>
      <c r="H19" s="40" t="s">
        <v>43</v>
      </c>
    </row>
    <row r="20" spans="2:17" ht="17" customHeight="1" x14ac:dyDescent="0.15">
      <c r="B20" s="52" t="s">
        <v>44</v>
      </c>
      <c r="C20" s="51"/>
      <c r="D20" s="12"/>
      <c r="E20" s="6"/>
      <c r="F20" s="20"/>
      <c r="G20" s="11"/>
      <c r="H20" s="45"/>
      <c r="I20" s="34"/>
      <c r="J20" s="34"/>
      <c r="K20" s="34"/>
      <c r="L20" s="34"/>
      <c r="M20" s="34"/>
      <c r="N20" s="34"/>
      <c r="O20" s="34"/>
      <c r="P20" s="34"/>
    </row>
    <row r="21" spans="2:17" ht="17" customHeight="1" x14ac:dyDescent="0.15">
      <c r="B21" s="53" t="s">
        <v>45</v>
      </c>
      <c r="C21" s="50">
        <v>1</v>
      </c>
      <c r="D21" s="14">
        <v>355</v>
      </c>
      <c r="E21" s="14">
        <f>C21*D21</f>
        <v>355</v>
      </c>
      <c r="F21" s="14" t="s">
        <v>11</v>
      </c>
      <c r="G21" s="188" t="s">
        <v>46</v>
      </c>
      <c r="H21" s="44" t="s">
        <v>47</v>
      </c>
      <c r="I21" s="34"/>
      <c r="J21" s="34"/>
      <c r="K21" s="34"/>
      <c r="L21" s="34"/>
      <c r="M21" s="34"/>
      <c r="N21" s="34"/>
      <c r="O21" s="34"/>
      <c r="P21" s="34"/>
    </row>
    <row r="22" spans="2:17" ht="17" customHeight="1" x14ac:dyDescent="0.15">
      <c r="B22" s="53"/>
      <c r="C22" s="50">
        <v>1</v>
      </c>
      <c r="D22" s="14">
        <v>529</v>
      </c>
      <c r="E22" s="14">
        <f>C22*D22</f>
        <v>529</v>
      </c>
      <c r="F22" s="14"/>
      <c r="G22" s="173"/>
      <c r="H22" s="44" t="s">
        <v>48</v>
      </c>
      <c r="I22" s="34"/>
      <c r="J22" s="34"/>
      <c r="K22" s="34"/>
      <c r="L22" s="34"/>
      <c r="M22" s="34"/>
      <c r="N22" s="34"/>
      <c r="O22" s="34"/>
      <c r="P22" s="34"/>
    </row>
    <row r="23" spans="2:17" ht="17" customHeight="1" x14ac:dyDescent="0.15">
      <c r="B23" s="54" t="s">
        <v>49</v>
      </c>
      <c r="C23" s="49">
        <v>1</v>
      </c>
      <c r="D23" s="16">
        <v>99</v>
      </c>
      <c r="E23" s="16">
        <f>C23*D23</f>
        <v>99</v>
      </c>
      <c r="F23" s="16" t="s">
        <v>11</v>
      </c>
      <c r="G23" s="23"/>
      <c r="H23" s="46" t="s">
        <v>50</v>
      </c>
      <c r="I23" s="34"/>
      <c r="J23" s="34"/>
      <c r="K23" s="34"/>
      <c r="L23" s="34"/>
      <c r="M23" s="34"/>
      <c r="N23" s="34"/>
      <c r="O23" s="34"/>
      <c r="P23" s="34"/>
      <c r="Q23" s="34"/>
    </row>
    <row r="24" spans="2:17" ht="17" customHeight="1" x14ac:dyDescent="0.15">
      <c r="B24" s="52" t="s">
        <v>51</v>
      </c>
      <c r="C24" s="51"/>
      <c r="D24" s="12"/>
      <c r="E24" s="6"/>
      <c r="F24" s="20"/>
      <c r="G24" s="11"/>
      <c r="H24" s="45"/>
      <c r="I24" s="34"/>
      <c r="J24" s="34"/>
      <c r="K24" s="34"/>
      <c r="L24" s="34"/>
      <c r="M24" s="34"/>
      <c r="N24" s="34"/>
      <c r="O24" s="34"/>
      <c r="P24" s="34"/>
      <c r="Q24" s="34"/>
    </row>
    <row r="25" spans="2:17" ht="17" customHeight="1" x14ac:dyDescent="0.15">
      <c r="B25" s="53" t="s">
        <v>52</v>
      </c>
      <c r="C25" s="50">
        <v>1</v>
      </c>
      <c r="D25" s="14">
        <v>1200</v>
      </c>
      <c r="E25" s="14">
        <f>C25*D25</f>
        <v>1200</v>
      </c>
      <c r="F25" s="14"/>
      <c r="G25" s="183" t="s">
        <v>192</v>
      </c>
      <c r="H25" s="47" t="s">
        <v>53</v>
      </c>
      <c r="I25" s="34"/>
      <c r="J25" s="34"/>
      <c r="K25" s="34"/>
      <c r="L25" s="34"/>
      <c r="M25" s="34"/>
      <c r="N25" s="34"/>
      <c r="O25" s="34"/>
      <c r="P25" s="34"/>
      <c r="Q25" s="34"/>
    </row>
    <row r="26" spans="2:17" ht="17" customHeight="1" x14ac:dyDescent="0.15">
      <c r="B26" s="53" t="s">
        <v>54</v>
      </c>
      <c r="C26" s="50">
        <v>1</v>
      </c>
      <c r="D26" s="14">
        <v>535.69000000000005</v>
      </c>
      <c r="E26" s="14">
        <f>C26*D26</f>
        <v>535.69000000000005</v>
      </c>
      <c r="F26" s="14" t="s">
        <v>11</v>
      </c>
      <c r="G26" s="176"/>
      <c r="H26" s="44" t="s">
        <v>55</v>
      </c>
      <c r="I26" s="34"/>
      <c r="J26" s="34"/>
      <c r="K26" s="34"/>
      <c r="L26" s="34"/>
      <c r="M26" s="34"/>
      <c r="N26" s="34"/>
      <c r="O26" s="34"/>
      <c r="P26" s="34"/>
      <c r="Q26" s="34"/>
    </row>
    <row r="27" spans="2:17" ht="17" customHeight="1" x14ac:dyDescent="0.15">
      <c r="B27" s="53" t="s">
        <v>56</v>
      </c>
      <c r="C27" s="50">
        <v>1</v>
      </c>
      <c r="D27" s="14">
        <v>553.44000000000005</v>
      </c>
      <c r="E27" s="14">
        <f>C27*D27</f>
        <v>553.44000000000005</v>
      </c>
      <c r="F27" s="14"/>
      <c r="G27" s="176"/>
      <c r="H27" s="44" t="s">
        <v>57</v>
      </c>
      <c r="I27" s="34"/>
      <c r="J27" s="34"/>
      <c r="K27" s="34"/>
      <c r="L27" s="34"/>
      <c r="M27" s="34"/>
      <c r="N27" s="34"/>
      <c r="O27" s="34"/>
      <c r="P27" s="34"/>
      <c r="Q27" s="34"/>
    </row>
    <row r="28" spans="2:17" ht="17" customHeight="1" x14ac:dyDescent="0.15">
      <c r="B28" s="53" t="s">
        <v>58</v>
      </c>
      <c r="C28" s="50">
        <v>1</v>
      </c>
      <c r="D28" s="14">
        <v>442.53</v>
      </c>
      <c r="E28" s="14">
        <f>C28*D28</f>
        <v>442.53</v>
      </c>
      <c r="F28" s="14"/>
      <c r="G28" s="176"/>
      <c r="H28" s="44" t="s">
        <v>59</v>
      </c>
      <c r="I28" s="34"/>
      <c r="J28" s="34"/>
      <c r="K28" s="34"/>
      <c r="L28" s="34"/>
      <c r="M28" s="34"/>
      <c r="N28" s="34"/>
      <c r="O28" s="34"/>
      <c r="P28" s="34"/>
      <c r="Q28" s="34"/>
    </row>
    <row r="29" spans="2:17" ht="17" customHeight="1" x14ac:dyDescent="0.15">
      <c r="B29" s="52" t="s">
        <v>60</v>
      </c>
      <c r="C29" s="51"/>
      <c r="D29" s="12"/>
      <c r="E29" s="6"/>
      <c r="F29" s="20"/>
      <c r="G29" s="11"/>
      <c r="H29" s="45"/>
      <c r="I29" s="34"/>
      <c r="J29" s="34"/>
      <c r="K29" s="34"/>
      <c r="L29" s="34"/>
      <c r="M29" s="34"/>
      <c r="N29" s="34"/>
      <c r="O29" s="34"/>
      <c r="P29" s="34"/>
      <c r="Q29" s="34"/>
    </row>
    <row r="30" spans="2:17" ht="17" customHeight="1" x14ac:dyDescent="0.15">
      <c r="B30" s="54" t="s">
        <v>61</v>
      </c>
      <c r="C30" s="49">
        <v>1</v>
      </c>
      <c r="D30" s="16">
        <v>110</v>
      </c>
      <c r="E30" s="16">
        <f t="shared" ref="E30:E40" si="1">C30*D30</f>
        <v>110</v>
      </c>
      <c r="F30" s="16" t="s">
        <v>11</v>
      </c>
      <c r="G30" s="24"/>
      <c r="H30" s="40" t="s">
        <v>62</v>
      </c>
      <c r="I30" s="34"/>
      <c r="J30" s="34"/>
      <c r="K30" s="34"/>
      <c r="L30" s="34"/>
      <c r="M30" s="34"/>
      <c r="N30" s="34"/>
      <c r="O30" s="34"/>
      <c r="P30" s="34"/>
      <c r="Q30" s="34"/>
    </row>
    <row r="31" spans="2:17" ht="34" customHeight="1" x14ac:dyDescent="0.15">
      <c r="B31" s="53" t="s">
        <v>63</v>
      </c>
      <c r="C31" s="50">
        <v>1</v>
      </c>
      <c r="D31" s="14">
        <v>219</v>
      </c>
      <c r="E31" s="14">
        <f t="shared" si="1"/>
        <v>219</v>
      </c>
      <c r="F31" s="14" t="s">
        <v>11</v>
      </c>
      <c r="G31" s="22"/>
      <c r="H31" s="41" t="s">
        <v>64</v>
      </c>
      <c r="I31" s="34"/>
      <c r="J31" s="34"/>
      <c r="K31" s="34"/>
      <c r="L31" s="34"/>
      <c r="M31" s="34"/>
      <c r="N31" s="34"/>
      <c r="O31" s="34"/>
      <c r="P31" s="34"/>
      <c r="Q31" s="34"/>
    </row>
    <row r="32" spans="2:17" ht="17" customHeight="1" x14ac:dyDescent="0.15">
      <c r="B32" s="54" t="s">
        <v>65</v>
      </c>
      <c r="C32" s="49">
        <v>1</v>
      </c>
      <c r="D32" s="16">
        <v>36.61</v>
      </c>
      <c r="E32" s="16">
        <f t="shared" si="1"/>
        <v>36.61</v>
      </c>
      <c r="F32" s="16" t="s">
        <v>11</v>
      </c>
      <c r="G32" s="29"/>
      <c r="H32" s="40" t="s">
        <v>66</v>
      </c>
      <c r="I32" s="34"/>
      <c r="J32" s="34"/>
      <c r="K32" s="34"/>
      <c r="L32" s="34"/>
      <c r="M32" s="34"/>
      <c r="N32" s="34"/>
      <c r="O32" s="34"/>
      <c r="P32" s="34"/>
      <c r="Q32" s="34"/>
    </row>
    <row r="33" spans="2:17" ht="34" customHeight="1" x14ac:dyDescent="0.15">
      <c r="B33" s="53" t="s">
        <v>67</v>
      </c>
      <c r="C33" s="50">
        <v>1</v>
      </c>
      <c r="D33" s="14">
        <v>8.99</v>
      </c>
      <c r="E33" s="14">
        <f t="shared" si="1"/>
        <v>8.99</v>
      </c>
      <c r="F33" s="14" t="s">
        <v>11</v>
      </c>
      <c r="G33" s="30"/>
      <c r="H33" s="41" t="s">
        <v>68</v>
      </c>
      <c r="I33" s="34"/>
      <c r="J33" s="34"/>
      <c r="K33" s="34"/>
      <c r="L33" s="34"/>
      <c r="M33" s="34"/>
      <c r="N33" s="34"/>
      <c r="O33" s="34"/>
      <c r="P33" s="34"/>
      <c r="Q33" s="34"/>
    </row>
    <row r="34" spans="2:17" ht="17" customHeight="1" x14ac:dyDescent="0.15">
      <c r="B34" s="54" t="s">
        <v>69</v>
      </c>
      <c r="C34" s="49">
        <v>1</v>
      </c>
      <c r="D34" s="16">
        <v>9.99</v>
      </c>
      <c r="E34" s="16">
        <f t="shared" si="1"/>
        <v>9.99</v>
      </c>
      <c r="F34" s="16" t="s">
        <v>11</v>
      </c>
      <c r="G34" s="28" t="s">
        <v>70</v>
      </c>
      <c r="H34" s="40" t="s">
        <v>71</v>
      </c>
      <c r="I34" s="34"/>
      <c r="J34" s="34"/>
      <c r="K34" s="34"/>
      <c r="L34" s="34"/>
      <c r="M34" s="34"/>
      <c r="N34" s="34"/>
      <c r="O34" s="34"/>
      <c r="P34" s="34"/>
      <c r="Q34" s="34"/>
    </row>
    <row r="35" spans="2:17" ht="17" customHeight="1" x14ac:dyDescent="0.15">
      <c r="B35" s="53" t="s">
        <v>72</v>
      </c>
      <c r="C35" s="50">
        <v>1</v>
      </c>
      <c r="D35" s="14">
        <v>8.99</v>
      </c>
      <c r="E35" s="14">
        <f t="shared" si="1"/>
        <v>8.99</v>
      </c>
      <c r="F35" s="14" t="s">
        <v>11</v>
      </c>
      <c r="G35" s="31" t="s">
        <v>70</v>
      </c>
      <c r="H35" s="41" t="s">
        <v>73</v>
      </c>
      <c r="I35" s="34"/>
      <c r="J35" s="34"/>
      <c r="K35" s="34"/>
      <c r="L35" s="34"/>
      <c r="M35" s="34"/>
      <c r="N35" s="34"/>
      <c r="O35" s="34"/>
      <c r="P35" s="34"/>
      <c r="Q35" s="34"/>
    </row>
    <row r="36" spans="2:17" ht="17" customHeight="1" x14ac:dyDescent="0.15">
      <c r="B36" s="186" t="s">
        <v>74</v>
      </c>
      <c r="C36" s="49">
        <v>1</v>
      </c>
      <c r="D36" s="16">
        <v>13</v>
      </c>
      <c r="E36" s="16">
        <f t="shared" si="1"/>
        <v>13</v>
      </c>
      <c r="F36" s="16"/>
      <c r="G36" s="189" t="s">
        <v>189</v>
      </c>
      <c r="H36" s="40" t="s">
        <v>75</v>
      </c>
      <c r="I36" s="34"/>
      <c r="J36" s="34"/>
      <c r="K36" s="34"/>
      <c r="L36" s="34"/>
      <c r="M36" s="34"/>
      <c r="N36" s="34"/>
      <c r="O36" s="34"/>
      <c r="P36" s="34"/>
      <c r="Q36" s="34"/>
    </row>
    <row r="37" spans="2:17" ht="17" customHeight="1" x14ac:dyDescent="0.15">
      <c r="B37" s="187"/>
      <c r="C37" s="49">
        <v>1</v>
      </c>
      <c r="D37" s="16">
        <v>15.65</v>
      </c>
      <c r="E37" s="16">
        <f t="shared" si="1"/>
        <v>15.65</v>
      </c>
      <c r="F37" s="16" t="s">
        <v>11</v>
      </c>
      <c r="G37" s="173"/>
      <c r="H37" s="40" t="s">
        <v>76</v>
      </c>
      <c r="I37" s="34"/>
      <c r="J37" s="34"/>
      <c r="K37" s="34"/>
      <c r="L37" s="34"/>
      <c r="M37" s="34"/>
      <c r="N37" s="34"/>
      <c r="O37" s="34"/>
      <c r="P37" s="34"/>
      <c r="Q37" s="34"/>
    </row>
    <row r="38" spans="2:17" ht="17" customHeight="1" x14ac:dyDescent="0.15">
      <c r="B38" s="53" t="s">
        <v>77</v>
      </c>
      <c r="C38" s="50">
        <v>1</v>
      </c>
      <c r="D38" s="14">
        <v>405</v>
      </c>
      <c r="E38" s="14">
        <f t="shared" si="1"/>
        <v>405</v>
      </c>
      <c r="F38" s="14"/>
      <c r="G38" s="183" t="s">
        <v>196</v>
      </c>
      <c r="H38" s="41" t="s">
        <v>78</v>
      </c>
      <c r="I38" s="34"/>
      <c r="J38" s="34"/>
      <c r="K38" s="34"/>
      <c r="L38" s="34"/>
      <c r="M38" s="34"/>
      <c r="N38" s="34"/>
      <c r="O38" s="34"/>
      <c r="P38" s="34"/>
      <c r="Q38" s="34"/>
    </row>
    <row r="39" spans="2:17" ht="17" customHeight="1" x14ac:dyDescent="0.15">
      <c r="B39" s="181" t="s">
        <v>79</v>
      </c>
      <c r="C39" s="50">
        <v>1</v>
      </c>
      <c r="D39" s="14">
        <v>420</v>
      </c>
      <c r="E39" s="14">
        <f t="shared" si="1"/>
        <v>420</v>
      </c>
      <c r="F39" s="14" t="s">
        <v>11</v>
      </c>
      <c r="G39" s="184"/>
      <c r="H39" s="198" t="s">
        <v>190</v>
      </c>
      <c r="I39" s="34"/>
      <c r="J39" s="34"/>
      <c r="K39" s="34"/>
      <c r="L39" s="34"/>
      <c r="M39" s="34"/>
      <c r="N39" s="34"/>
      <c r="O39" s="34"/>
      <c r="P39" s="34"/>
      <c r="Q39" s="34"/>
    </row>
    <row r="40" spans="2:17" ht="17" customHeight="1" x14ac:dyDescent="0.15">
      <c r="B40" s="182"/>
      <c r="C40" s="50">
        <v>1</v>
      </c>
      <c r="D40" s="14">
        <v>408</v>
      </c>
      <c r="E40" s="14">
        <f t="shared" si="1"/>
        <v>408</v>
      </c>
      <c r="F40" s="14"/>
      <c r="G40" s="185"/>
      <c r="H40" s="41" t="s">
        <v>191</v>
      </c>
      <c r="I40" s="34"/>
      <c r="J40" s="34"/>
      <c r="K40" s="34"/>
      <c r="L40" s="34"/>
      <c r="M40" s="34"/>
      <c r="N40" s="34"/>
      <c r="O40" s="34"/>
      <c r="P40" s="34"/>
      <c r="Q40" s="34"/>
    </row>
    <row r="41" spans="2:17" ht="17" customHeight="1" x14ac:dyDescent="0.15">
      <c r="B41" s="52" t="s">
        <v>80</v>
      </c>
      <c r="C41" s="51"/>
      <c r="D41" s="12"/>
      <c r="E41" s="6"/>
      <c r="F41" s="20"/>
      <c r="G41" s="11"/>
      <c r="H41" s="45"/>
      <c r="I41" s="34"/>
      <c r="J41" s="34"/>
      <c r="K41" s="34"/>
      <c r="L41" s="34"/>
      <c r="M41" s="34"/>
      <c r="N41" s="34"/>
      <c r="O41" s="34"/>
      <c r="P41" s="34"/>
      <c r="Q41" s="34"/>
    </row>
    <row r="42" spans="2:17" ht="17" customHeight="1" x14ac:dyDescent="0.15">
      <c r="B42" s="54" t="s">
        <v>81</v>
      </c>
      <c r="C42" s="49">
        <v>1</v>
      </c>
      <c r="D42" s="16">
        <v>17.43</v>
      </c>
      <c r="E42" s="16">
        <f>C42*D42</f>
        <v>17.43</v>
      </c>
      <c r="F42" s="16" t="s">
        <v>11</v>
      </c>
      <c r="G42" s="15" t="s">
        <v>82</v>
      </c>
      <c r="H42" s="40" t="s">
        <v>83</v>
      </c>
      <c r="I42" s="34"/>
      <c r="J42" s="34"/>
      <c r="K42" s="34"/>
      <c r="L42" s="34"/>
      <c r="M42" s="34"/>
      <c r="N42" s="34"/>
      <c r="O42" s="34"/>
      <c r="P42" s="34"/>
      <c r="Q42" s="34"/>
    </row>
    <row r="43" spans="2:17" ht="17" customHeight="1" x14ac:dyDescent="0.15">
      <c r="B43" s="53" t="s">
        <v>84</v>
      </c>
      <c r="C43" s="50">
        <v>1</v>
      </c>
      <c r="D43" s="14">
        <v>3.38</v>
      </c>
      <c r="E43" s="14">
        <f>C43*D43</f>
        <v>3.38</v>
      </c>
      <c r="F43" s="14" t="s">
        <v>11</v>
      </c>
      <c r="G43" s="32"/>
      <c r="H43" s="47" t="s">
        <v>85</v>
      </c>
      <c r="I43" s="34"/>
      <c r="J43" s="34"/>
      <c r="K43" s="34"/>
      <c r="L43" s="34"/>
      <c r="M43" s="34"/>
      <c r="N43" s="34"/>
      <c r="O43" s="34"/>
      <c r="P43" s="34"/>
      <c r="Q43" s="34"/>
    </row>
    <row r="44" spans="2:17" ht="17" customHeight="1" x14ac:dyDescent="0.15">
      <c r="B44" s="54" t="s">
        <v>86</v>
      </c>
      <c r="C44" s="49">
        <v>1</v>
      </c>
      <c r="D44" s="16">
        <v>10.39</v>
      </c>
      <c r="E44" s="16">
        <f>C44*D44</f>
        <v>10.39</v>
      </c>
      <c r="F44" s="16" t="s">
        <v>11</v>
      </c>
      <c r="G44" s="24"/>
      <c r="H44" s="40" t="s">
        <v>87</v>
      </c>
      <c r="I44" s="34"/>
      <c r="J44" s="34"/>
      <c r="K44" s="34"/>
      <c r="L44" s="34"/>
      <c r="M44" s="34"/>
      <c r="N44" s="34"/>
      <c r="O44" s="34"/>
      <c r="P44" s="34"/>
      <c r="Q44" s="34"/>
    </row>
    <row r="45" spans="2:17" ht="17" customHeight="1" x14ac:dyDescent="0.15">
      <c r="B45" s="53" t="s">
        <v>88</v>
      </c>
      <c r="C45" s="50">
        <v>1</v>
      </c>
      <c r="D45" s="14">
        <v>7.59</v>
      </c>
      <c r="E45" s="14">
        <f>C45*D45</f>
        <v>7.59</v>
      </c>
      <c r="F45" s="14" t="s">
        <v>11</v>
      </c>
      <c r="G45" s="13"/>
      <c r="H45" s="41" t="s">
        <v>89</v>
      </c>
      <c r="I45" s="34"/>
      <c r="J45" s="34"/>
      <c r="K45" s="34"/>
      <c r="L45" s="34"/>
      <c r="M45" s="34"/>
      <c r="N45" s="34"/>
      <c r="O45" s="34"/>
      <c r="P45" s="34"/>
      <c r="Q45" s="34"/>
    </row>
    <row r="46" spans="2:17" ht="17" customHeight="1" thickBot="1" x14ac:dyDescent="0.2">
      <c r="B46" s="54" t="s">
        <v>90</v>
      </c>
      <c r="C46" s="49">
        <v>1</v>
      </c>
      <c r="D46" s="16">
        <v>13.99</v>
      </c>
      <c r="E46" s="16">
        <f>C46*D46</f>
        <v>13.99</v>
      </c>
      <c r="F46" s="16" t="s">
        <v>11</v>
      </c>
      <c r="G46" s="24"/>
      <c r="H46" s="40" t="s">
        <v>91</v>
      </c>
      <c r="I46" s="34"/>
      <c r="J46" s="34"/>
      <c r="K46" s="34"/>
      <c r="L46" s="34"/>
      <c r="M46" s="34"/>
      <c r="N46" s="34"/>
      <c r="O46" s="34"/>
      <c r="P46" s="34"/>
      <c r="Q46" s="34"/>
    </row>
    <row r="47" spans="2:17" ht="17" customHeight="1" x14ac:dyDescent="0.15">
      <c r="B47" s="52" t="s">
        <v>92</v>
      </c>
      <c r="C47" s="51"/>
      <c r="D47" s="12"/>
      <c r="E47" s="6"/>
      <c r="F47" s="20"/>
      <c r="G47" s="11"/>
      <c r="H47" s="45"/>
      <c r="I47" s="34"/>
      <c r="J47" s="34"/>
      <c r="K47" s="34"/>
      <c r="L47" s="34"/>
      <c r="M47" s="34"/>
      <c r="N47" s="34"/>
      <c r="O47" s="34"/>
      <c r="P47" s="34"/>
      <c r="Q47" s="34"/>
    </row>
    <row r="48" spans="2:17" ht="17" customHeight="1" x14ac:dyDescent="0.15">
      <c r="B48" s="53" t="s">
        <v>93</v>
      </c>
      <c r="C48" s="50">
        <v>1</v>
      </c>
      <c r="D48" s="14">
        <v>8.99</v>
      </c>
      <c r="E48" s="14">
        <f>C48*D48</f>
        <v>8.99</v>
      </c>
      <c r="F48" s="14" t="s">
        <v>11</v>
      </c>
      <c r="G48" s="32"/>
      <c r="H48" s="47" t="s">
        <v>94</v>
      </c>
      <c r="I48" s="34"/>
      <c r="J48" s="34"/>
      <c r="K48" s="34"/>
      <c r="L48" s="34"/>
      <c r="M48" s="34"/>
      <c r="N48" s="34"/>
      <c r="O48" s="34"/>
      <c r="P48" s="34"/>
      <c r="Q48" s="34"/>
    </row>
    <row r="49" spans="2:17" ht="17" customHeight="1" x14ac:dyDescent="0.15">
      <c r="B49" s="54" t="s">
        <v>95</v>
      </c>
      <c r="C49" s="49">
        <v>1</v>
      </c>
      <c r="D49" s="16">
        <v>10.99</v>
      </c>
      <c r="E49" s="16">
        <f>C49*D49</f>
        <v>10.99</v>
      </c>
      <c r="F49" s="16" t="s">
        <v>11</v>
      </c>
      <c r="G49" s="24"/>
      <c r="H49" s="40" t="s">
        <v>96</v>
      </c>
      <c r="I49" s="34"/>
      <c r="J49" s="34"/>
      <c r="K49" s="34"/>
      <c r="L49" s="34"/>
      <c r="M49" s="34"/>
      <c r="N49" s="34"/>
      <c r="O49" s="34"/>
      <c r="P49" s="34"/>
      <c r="Q49" s="34"/>
    </row>
    <row r="50" spans="2:17" ht="34" customHeight="1" x14ac:dyDescent="0.15">
      <c r="B50" s="152" t="s">
        <v>97</v>
      </c>
      <c r="C50" s="153">
        <v>10</v>
      </c>
      <c r="D50" s="154">
        <v>51.9</v>
      </c>
      <c r="E50" s="154">
        <f>C50*D50</f>
        <v>519</v>
      </c>
      <c r="F50" s="154"/>
      <c r="G50" s="155" t="str">
        <f>_xlfn.CONCAT("TRACK LENGTH = ", PRODUCT(C50, 9.8, 0.5), " meters")</f>
        <v>TRACK LENGTH = 49 meters</v>
      </c>
      <c r="H50" s="156" t="s">
        <v>98</v>
      </c>
      <c r="I50" s="34"/>
      <c r="J50" s="34"/>
      <c r="K50" s="34"/>
      <c r="L50" s="34"/>
      <c r="M50" s="34"/>
      <c r="N50" s="34"/>
      <c r="O50" s="34"/>
      <c r="P50" s="34"/>
      <c r="Q50" s="34"/>
    </row>
    <row r="51" spans="2:17" ht="19" customHeight="1" x14ac:dyDescent="0.15">
      <c r="B51" s="162"/>
      <c r="C51" s="167" t="s">
        <v>99</v>
      </c>
      <c r="D51" s="163"/>
      <c r="E51" s="163">
        <f>SUMIF(F$5:F50, "x", E$5:E50)</f>
        <v>2579.7399999999989</v>
      </c>
      <c r="F51" s="10"/>
      <c r="G51" s="7" t="s">
        <v>193</v>
      </c>
      <c r="H51" s="164"/>
      <c r="I51" s="34"/>
      <c r="J51" s="34"/>
      <c r="K51" s="34"/>
      <c r="L51" s="34"/>
      <c r="M51" s="34"/>
      <c r="N51" s="34"/>
      <c r="O51" s="34"/>
      <c r="P51" s="34"/>
      <c r="Q51" s="34"/>
    </row>
    <row r="52" spans="2:17" ht="18" customHeight="1" thickBot="1" x14ac:dyDescent="0.2">
      <c r="B52" s="157"/>
      <c r="C52" s="166" t="s">
        <v>194</v>
      </c>
      <c r="D52" s="165">
        <v>0.22</v>
      </c>
      <c r="E52" s="158">
        <f>E51/(1+D52)</f>
        <v>2114.5409836065564</v>
      </c>
      <c r="F52" s="159"/>
      <c r="G52" s="160" t="str">
        <f>_xlfn.CONCAT("IVA EXCLUDED @ ", D52*100, "%")</f>
        <v>IVA EXCLUDED @ 22%</v>
      </c>
      <c r="H52" s="161"/>
    </row>
    <row r="53" spans="2:17" x14ac:dyDescent="0.15">
      <c r="B53" s="35"/>
      <c r="C53" s="36"/>
      <c r="D53" s="37"/>
      <c r="E53" s="37"/>
      <c r="F53" s="37"/>
      <c r="G53" s="38"/>
      <c r="H53" s="38"/>
    </row>
    <row r="54" spans="2:17" ht="17" customHeight="1" x14ac:dyDescent="0.15">
      <c r="B54" s="66" t="s">
        <v>195</v>
      </c>
      <c r="C54" s="9"/>
      <c r="D54" s="10"/>
      <c r="E54" s="10"/>
      <c r="F54" s="10"/>
      <c r="G54" s="7"/>
      <c r="H54" s="7"/>
    </row>
    <row r="55" spans="2:17" x14ac:dyDescent="0.15">
      <c r="B55" s="19"/>
      <c r="C55" s="17"/>
      <c r="D55" s="18"/>
      <c r="E55" s="18"/>
      <c r="F55" s="18"/>
      <c r="G55" s="8"/>
    </row>
    <row r="80" spans="2:7" x14ac:dyDescent="0.15">
      <c r="B80" s="19"/>
      <c r="C80" s="17"/>
      <c r="D80" s="18"/>
      <c r="E80" s="18"/>
      <c r="F80" s="18"/>
      <c r="G80" s="8"/>
    </row>
    <row r="81" spans="2:7" x14ac:dyDescent="0.15">
      <c r="B81" s="19"/>
      <c r="C81" s="17"/>
      <c r="D81" s="18"/>
      <c r="E81" s="18"/>
      <c r="F81" s="18"/>
      <c r="G81" s="8"/>
    </row>
    <row r="82" spans="2:7" x14ac:dyDescent="0.15">
      <c r="B82" s="19"/>
      <c r="C82" s="17"/>
      <c r="D82" s="18"/>
      <c r="E82" s="18"/>
      <c r="F82" s="18"/>
      <c r="G82" s="8"/>
    </row>
    <row r="83" spans="2:7" x14ac:dyDescent="0.15">
      <c r="B83" s="19"/>
      <c r="C83" s="17"/>
      <c r="D83" s="18"/>
      <c r="E83" s="18"/>
      <c r="F83" s="18"/>
      <c r="G83" s="8"/>
    </row>
    <row r="84" spans="2:7" x14ac:dyDescent="0.15">
      <c r="B84" s="19"/>
      <c r="C84" s="17"/>
      <c r="D84" s="18"/>
      <c r="E84" s="18"/>
      <c r="F84" s="18"/>
      <c r="G84" s="8"/>
    </row>
    <row r="85" spans="2:7" x14ac:dyDescent="0.15">
      <c r="B85" s="19"/>
      <c r="C85" s="17"/>
      <c r="D85" s="18"/>
      <c r="E85" s="18"/>
      <c r="F85" s="18"/>
      <c r="G85" s="8"/>
    </row>
    <row r="86" spans="2:7" x14ac:dyDescent="0.15">
      <c r="B86" s="19"/>
      <c r="C86" s="17"/>
      <c r="D86" s="18"/>
      <c r="E86" s="18"/>
      <c r="F86" s="18"/>
      <c r="G86" s="8"/>
    </row>
    <row r="87" spans="2:7" x14ac:dyDescent="0.15">
      <c r="B87" s="19"/>
      <c r="C87" s="17"/>
      <c r="D87" s="18"/>
      <c r="E87" s="18"/>
      <c r="F87" s="18"/>
      <c r="G87" s="8"/>
    </row>
    <row r="88" spans="2:7" x14ac:dyDescent="0.15">
      <c r="B88" s="19"/>
      <c r="C88" s="17"/>
      <c r="D88" s="18"/>
      <c r="E88" s="18"/>
      <c r="F88" s="18"/>
      <c r="G88" s="8"/>
    </row>
    <row r="89" spans="2:7" x14ac:dyDescent="0.15">
      <c r="B89" s="19"/>
      <c r="C89" s="17"/>
      <c r="D89" s="18"/>
      <c r="E89" s="18"/>
      <c r="F89" s="18"/>
      <c r="G89" s="8"/>
    </row>
    <row r="90" spans="2:7" x14ac:dyDescent="0.15">
      <c r="B90" s="19"/>
      <c r="C90" s="17"/>
      <c r="D90" s="18"/>
      <c r="E90" s="18"/>
      <c r="F90" s="18"/>
      <c r="G90" s="8"/>
    </row>
    <row r="91" spans="2:7" x14ac:dyDescent="0.15">
      <c r="B91" s="19"/>
      <c r="C91" s="17"/>
      <c r="D91" s="18"/>
      <c r="E91" s="18"/>
      <c r="F91" s="18"/>
      <c r="G91" s="8"/>
    </row>
    <row r="92" spans="2:7" x14ac:dyDescent="0.15">
      <c r="B92" s="19"/>
      <c r="C92" s="17"/>
      <c r="D92" s="18"/>
      <c r="E92" s="18"/>
      <c r="F92" s="18"/>
      <c r="G92" s="8"/>
    </row>
    <row r="93" spans="2:7" x14ac:dyDescent="0.15">
      <c r="B93" s="19"/>
      <c r="C93" s="17"/>
      <c r="D93" s="18"/>
      <c r="E93" s="18"/>
      <c r="F93" s="18"/>
      <c r="G93" s="8"/>
    </row>
    <row r="94" spans="2:7" x14ac:dyDescent="0.15">
      <c r="B94" s="19"/>
      <c r="C94" s="17"/>
      <c r="D94" s="18"/>
      <c r="E94" s="18"/>
      <c r="F94" s="18"/>
      <c r="G94" s="8"/>
    </row>
    <row r="95" spans="2:7" x14ac:dyDescent="0.15">
      <c r="B95" s="19"/>
      <c r="C95" s="17"/>
      <c r="D95" s="18"/>
      <c r="E95" s="18"/>
      <c r="F95" s="18"/>
      <c r="G95" s="8"/>
    </row>
    <row r="96" spans="2:7" x14ac:dyDescent="0.15">
      <c r="B96" s="19"/>
      <c r="C96" s="17"/>
      <c r="D96" s="18"/>
      <c r="E96" s="18"/>
      <c r="F96" s="18"/>
      <c r="G96" s="8"/>
    </row>
    <row r="97" spans="2:7" x14ac:dyDescent="0.15">
      <c r="B97" s="19"/>
      <c r="C97" s="17"/>
      <c r="D97" s="18"/>
      <c r="E97" s="18"/>
      <c r="F97" s="18"/>
      <c r="G97" s="8"/>
    </row>
    <row r="98" spans="2:7" x14ac:dyDescent="0.15">
      <c r="B98" s="19"/>
      <c r="C98" s="17"/>
      <c r="D98" s="18"/>
      <c r="E98" s="18"/>
      <c r="F98" s="18"/>
      <c r="G98" s="8"/>
    </row>
    <row r="99" spans="2:7" x14ac:dyDescent="0.15">
      <c r="B99" s="19"/>
      <c r="C99" s="17"/>
      <c r="D99" s="18"/>
      <c r="E99" s="18"/>
      <c r="F99" s="18"/>
      <c r="G99" s="8"/>
    </row>
    <row r="100" spans="2:7" x14ac:dyDescent="0.15">
      <c r="B100" s="19"/>
      <c r="C100" s="17"/>
      <c r="D100" s="18"/>
      <c r="E100" s="18"/>
      <c r="F100" s="18"/>
      <c r="G100" s="8"/>
    </row>
    <row r="101" spans="2:7" x14ac:dyDescent="0.15">
      <c r="B101" s="19"/>
      <c r="C101" s="17"/>
      <c r="D101" s="18"/>
      <c r="E101" s="18"/>
      <c r="F101" s="18"/>
      <c r="G101" s="8"/>
    </row>
    <row r="102" spans="2:7" x14ac:dyDescent="0.15">
      <c r="B102" s="19"/>
      <c r="C102" s="17"/>
      <c r="D102" s="18"/>
      <c r="E102" s="18"/>
      <c r="F102" s="18"/>
      <c r="G102" s="8"/>
    </row>
    <row r="103" spans="2:7" x14ac:dyDescent="0.15">
      <c r="B103" s="19"/>
      <c r="C103" s="17"/>
      <c r="D103" s="18"/>
      <c r="E103" s="18"/>
      <c r="F103" s="18"/>
      <c r="G103" s="8"/>
    </row>
    <row r="104" spans="2:7" x14ac:dyDescent="0.15">
      <c r="B104" s="19"/>
      <c r="C104" s="17"/>
      <c r="D104" s="18"/>
      <c r="E104" s="18"/>
      <c r="F104" s="18"/>
      <c r="G104" s="8"/>
    </row>
    <row r="105" spans="2:7" x14ac:dyDescent="0.15">
      <c r="B105" s="19"/>
      <c r="C105" s="17"/>
      <c r="D105" s="18"/>
      <c r="E105" s="18"/>
      <c r="F105" s="18"/>
      <c r="G105" s="8"/>
    </row>
    <row r="106" spans="2:7" x14ac:dyDescent="0.15">
      <c r="B106" s="19"/>
      <c r="C106" s="17"/>
      <c r="D106" s="18"/>
      <c r="E106" s="18"/>
      <c r="F106" s="18"/>
      <c r="G106" s="8"/>
    </row>
    <row r="107" spans="2:7" x14ac:dyDescent="0.15">
      <c r="B107" s="19"/>
      <c r="C107" s="17"/>
      <c r="D107" s="18"/>
      <c r="E107" s="18"/>
      <c r="F107" s="18"/>
      <c r="G107" s="8"/>
    </row>
    <row r="108" spans="2:7" x14ac:dyDescent="0.15">
      <c r="B108" s="19"/>
      <c r="C108" s="17"/>
      <c r="D108" s="18"/>
      <c r="E108" s="18"/>
      <c r="F108" s="18"/>
      <c r="G108" s="8"/>
    </row>
    <row r="109" spans="2:7" x14ac:dyDescent="0.15">
      <c r="B109" s="19"/>
      <c r="C109" s="17"/>
      <c r="D109" s="18"/>
      <c r="E109" s="18"/>
      <c r="F109" s="18"/>
      <c r="G109" s="8"/>
    </row>
    <row r="110" spans="2:7" x14ac:dyDescent="0.15">
      <c r="B110" s="19"/>
      <c r="C110" s="17"/>
      <c r="D110" s="18"/>
      <c r="E110" s="18"/>
      <c r="F110" s="18"/>
      <c r="G110" s="8"/>
    </row>
    <row r="111" spans="2:7" x14ac:dyDescent="0.15">
      <c r="B111" s="19"/>
      <c r="C111" s="17"/>
      <c r="D111" s="18"/>
      <c r="E111" s="18"/>
      <c r="F111" s="18"/>
      <c r="G111" s="8"/>
    </row>
    <row r="112" spans="2:7" x14ac:dyDescent="0.15">
      <c r="B112" s="19"/>
      <c r="C112" s="17"/>
      <c r="D112" s="18"/>
      <c r="E112" s="18"/>
      <c r="F112" s="18"/>
      <c r="G112" s="8"/>
    </row>
    <row r="113" spans="2:7" x14ac:dyDescent="0.15">
      <c r="B113" s="19"/>
      <c r="C113" s="17"/>
      <c r="D113" s="18"/>
      <c r="E113" s="18"/>
      <c r="F113" s="18"/>
      <c r="G113" s="8"/>
    </row>
    <row r="114" spans="2:7" x14ac:dyDescent="0.15">
      <c r="B114" s="19"/>
      <c r="C114" s="17"/>
      <c r="D114" s="18"/>
      <c r="E114" s="18"/>
      <c r="F114" s="18"/>
      <c r="G114" s="8"/>
    </row>
    <row r="115" spans="2:7" x14ac:dyDescent="0.15">
      <c r="B115" s="19"/>
      <c r="C115" s="17"/>
      <c r="D115" s="18"/>
      <c r="E115" s="18"/>
      <c r="F115" s="18"/>
      <c r="G115" s="8"/>
    </row>
    <row r="116" spans="2:7" x14ac:dyDescent="0.15">
      <c r="B116" s="19"/>
      <c r="C116" s="17"/>
      <c r="D116" s="18"/>
      <c r="E116" s="18"/>
      <c r="F116" s="18"/>
      <c r="G116" s="8"/>
    </row>
    <row r="117" spans="2:7" x14ac:dyDescent="0.15">
      <c r="B117" s="19"/>
      <c r="C117" s="17"/>
      <c r="D117" s="18"/>
      <c r="E117" s="18"/>
      <c r="F117" s="18"/>
      <c r="G117" s="8"/>
    </row>
    <row r="118" spans="2:7" x14ac:dyDescent="0.15">
      <c r="B118" s="19"/>
      <c r="C118" s="17"/>
      <c r="D118" s="18"/>
      <c r="E118" s="18"/>
      <c r="F118" s="18"/>
      <c r="G118" s="8"/>
    </row>
    <row r="119" spans="2:7" x14ac:dyDescent="0.15">
      <c r="B119" s="19"/>
      <c r="C119" s="17"/>
      <c r="D119" s="18"/>
      <c r="E119" s="18"/>
      <c r="F119" s="18"/>
      <c r="G119" s="8"/>
    </row>
    <row r="120" spans="2:7" x14ac:dyDescent="0.15">
      <c r="B120" s="19"/>
      <c r="C120" s="17"/>
      <c r="D120" s="18"/>
      <c r="E120" s="18"/>
      <c r="F120" s="18"/>
      <c r="G120" s="8"/>
    </row>
    <row r="121" spans="2:7" x14ac:dyDescent="0.15">
      <c r="B121" s="19"/>
      <c r="C121" s="17"/>
      <c r="D121" s="18"/>
      <c r="E121" s="18"/>
      <c r="F121" s="18"/>
      <c r="G121" s="8"/>
    </row>
    <row r="122" spans="2:7" x14ac:dyDescent="0.15">
      <c r="B122" s="19"/>
      <c r="C122" s="17"/>
      <c r="D122" s="18"/>
      <c r="E122" s="18"/>
      <c r="F122" s="18"/>
      <c r="G122" s="8"/>
    </row>
    <row r="123" spans="2:7" x14ac:dyDescent="0.15">
      <c r="B123" s="19"/>
      <c r="C123" s="17"/>
      <c r="D123" s="18"/>
      <c r="E123" s="18"/>
      <c r="F123" s="18"/>
      <c r="G123" s="8"/>
    </row>
    <row r="124" spans="2:7" x14ac:dyDescent="0.15">
      <c r="B124" s="19"/>
      <c r="C124" s="17"/>
      <c r="D124" s="18"/>
      <c r="E124" s="18"/>
      <c r="F124" s="18"/>
      <c r="G124" s="8"/>
    </row>
    <row r="125" spans="2:7" x14ac:dyDescent="0.15">
      <c r="B125" s="19"/>
      <c r="C125" s="17"/>
      <c r="D125" s="18"/>
      <c r="E125" s="18"/>
      <c r="F125" s="18"/>
      <c r="G125" s="8"/>
    </row>
    <row r="126" spans="2:7" x14ac:dyDescent="0.15">
      <c r="B126" s="19"/>
      <c r="C126" s="17"/>
      <c r="D126" s="18"/>
      <c r="E126" s="18"/>
      <c r="F126" s="18"/>
      <c r="G126" s="8"/>
    </row>
    <row r="127" spans="2:7" x14ac:dyDescent="0.15">
      <c r="B127" s="19"/>
      <c r="C127" s="17"/>
      <c r="D127" s="18"/>
      <c r="E127" s="18"/>
      <c r="F127" s="18"/>
      <c r="G127" s="8"/>
    </row>
    <row r="128" spans="2:7" x14ac:dyDescent="0.15">
      <c r="B128" s="19"/>
      <c r="C128" s="17"/>
      <c r="D128" s="18"/>
      <c r="E128" s="18"/>
      <c r="F128" s="18"/>
      <c r="G128" s="8"/>
    </row>
    <row r="129" spans="2:7" x14ac:dyDescent="0.15">
      <c r="B129" s="19"/>
      <c r="C129" s="17"/>
      <c r="D129" s="18"/>
      <c r="E129" s="18"/>
      <c r="F129" s="18"/>
      <c r="G129" s="8"/>
    </row>
    <row r="130" spans="2:7" x14ac:dyDescent="0.15">
      <c r="B130" s="19"/>
      <c r="C130" s="17"/>
      <c r="D130" s="18"/>
      <c r="E130" s="18"/>
      <c r="F130" s="18"/>
      <c r="G130" s="8"/>
    </row>
    <row r="131" spans="2:7" x14ac:dyDescent="0.15">
      <c r="B131" s="19"/>
      <c r="C131" s="17"/>
      <c r="D131" s="18"/>
      <c r="E131" s="18"/>
      <c r="F131" s="18"/>
      <c r="G131" s="8"/>
    </row>
    <row r="132" spans="2:7" x14ac:dyDescent="0.15">
      <c r="B132" s="19"/>
      <c r="C132" s="17"/>
      <c r="D132" s="18"/>
      <c r="E132" s="18"/>
      <c r="F132" s="18"/>
      <c r="G132" s="8"/>
    </row>
    <row r="133" spans="2:7" x14ac:dyDescent="0.15">
      <c r="B133" s="19"/>
      <c r="C133" s="17"/>
      <c r="D133" s="18"/>
      <c r="E133" s="18"/>
      <c r="F133" s="18"/>
      <c r="G133" s="8"/>
    </row>
    <row r="134" spans="2:7" x14ac:dyDescent="0.15">
      <c r="B134" s="19"/>
      <c r="C134" s="17"/>
      <c r="D134" s="18"/>
      <c r="E134" s="18"/>
      <c r="F134" s="18"/>
      <c r="G134" s="8"/>
    </row>
    <row r="135" spans="2:7" x14ac:dyDescent="0.15">
      <c r="B135" s="19"/>
      <c r="C135" s="17"/>
      <c r="D135" s="18"/>
      <c r="E135" s="18"/>
      <c r="F135" s="18"/>
      <c r="G135" s="8"/>
    </row>
    <row r="136" spans="2:7" x14ac:dyDescent="0.15">
      <c r="B136" s="19"/>
      <c r="C136" s="17"/>
      <c r="D136" s="18"/>
      <c r="E136" s="18"/>
      <c r="F136" s="18"/>
      <c r="G136" s="8"/>
    </row>
    <row r="137" spans="2:7" x14ac:dyDescent="0.15">
      <c r="B137" s="19"/>
      <c r="C137" s="17"/>
      <c r="D137" s="18"/>
      <c r="E137" s="18"/>
      <c r="F137" s="18"/>
      <c r="G137" s="8"/>
    </row>
    <row r="138" spans="2:7" x14ac:dyDescent="0.15">
      <c r="B138" s="19"/>
      <c r="C138" s="17"/>
      <c r="D138" s="18"/>
      <c r="E138" s="18"/>
      <c r="F138" s="18"/>
      <c r="G138" s="8"/>
    </row>
    <row r="139" spans="2:7" x14ac:dyDescent="0.15">
      <c r="B139" s="19"/>
      <c r="C139" s="17"/>
      <c r="D139" s="18"/>
      <c r="E139" s="18"/>
      <c r="F139" s="18"/>
      <c r="G139" s="8"/>
    </row>
    <row r="140" spans="2:7" x14ac:dyDescent="0.15">
      <c r="B140" s="19"/>
      <c r="C140" s="17"/>
      <c r="D140" s="18"/>
      <c r="E140" s="18"/>
      <c r="F140" s="18"/>
      <c r="G140" s="8"/>
    </row>
    <row r="141" spans="2:7" x14ac:dyDescent="0.15">
      <c r="B141" s="19"/>
      <c r="C141" s="17"/>
      <c r="D141" s="18"/>
      <c r="E141" s="18"/>
      <c r="F141" s="18"/>
      <c r="G141" s="8"/>
    </row>
    <row r="142" spans="2:7" x14ac:dyDescent="0.15">
      <c r="B142" s="19"/>
      <c r="C142" s="17"/>
      <c r="D142" s="18"/>
      <c r="E142" s="18"/>
      <c r="F142" s="18"/>
      <c r="G142" s="8"/>
    </row>
    <row r="143" spans="2:7" x14ac:dyDescent="0.15">
      <c r="B143" s="19"/>
      <c r="C143" s="17"/>
      <c r="D143" s="18"/>
      <c r="E143" s="18"/>
      <c r="F143" s="18"/>
      <c r="G143" s="8"/>
    </row>
    <row r="144" spans="2:7" x14ac:dyDescent="0.15">
      <c r="B144" s="19"/>
      <c r="C144" s="17"/>
      <c r="D144" s="18"/>
      <c r="E144" s="18"/>
      <c r="F144" s="18"/>
      <c r="G144" s="8"/>
    </row>
    <row r="145" spans="2:7" x14ac:dyDescent="0.15">
      <c r="B145" s="19"/>
      <c r="C145" s="17"/>
      <c r="D145" s="18"/>
      <c r="E145" s="18"/>
      <c r="F145" s="18"/>
      <c r="G145" s="8"/>
    </row>
    <row r="146" spans="2:7" x14ac:dyDescent="0.15">
      <c r="B146" s="19"/>
      <c r="C146" s="17"/>
      <c r="D146" s="18"/>
      <c r="E146" s="18"/>
      <c r="F146" s="18"/>
      <c r="G146" s="8"/>
    </row>
    <row r="147" spans="2:7" x14ac:dyDescent="0.15">
      <c r="B147" s="19"/>
      <c r="C147" s="17"/>
      <c r="D147" s="18"/>
      <c r="E147" s="18"/>
      <c r="F147" s="18"/>
      <c r="G147" s="8"/>
    </row>
    <row r="148" spans="2:7" x14ac:dyDescent="0.15">
      <c r="B148" s="19"/>
      <c r="C148" s="17"/>
      <c r="D148" s="18"/>
      <c r="E148" s="18"/>
      <c r="F148" s="18"/>
      <c r="G148" s="8"/>
    </row>
    <row r="149" spans="2:7" x14ac:dyDescent="0.15">
      <c r="B149" s="19"/>
      <c r="C149" s="17"/>
      <c r="D149" s="18"/>
      <c r="E149" s="18"/>
      <c r="F149" s="18"/>
      <c r="G149" s="8"/>
    </row>
    <row r="150" spans="2:7" x14ac:dyDescent="0.15">
      <c r="B150" s="19"/>
      <c r="C150" s="17"/>
      <c r="D150" s="18"/>
      <c r="E150" s="18"/>
      <c r="F150" s="18"/>
      <c r="G150" s="8"/>
    </row>
    <row r="151" spans="2:7" x14ac:dyDescent="0.15">
      <c r="B151" s="19"/>
      <c r="C151" s="17"/>
      <c r="D151" s="18"/>
      <c r="E151" s="18"/>
      <c r="F151" s="18"/>
      <c r="G151" s="8"/>
    </row>
    <row r="152" spans="2:7" x14ac:dyDescent="0.15">
      <c r="B152" s="19"/>
      <c r="C152" s="17"/>
      <c r="D152" s="18"/>
      <c r="E152" s="18"/>
      <c r="F152" s="18"/>
      <c r="G152" s="8"/>
    </row>
    <row r="153" spans="2:7" x14ac:dyDescent="0.15">
      <c r="B153" s="19"/>
      <c r="C153" s="17"/>
      <c r="D153" s="18"/>
      <c r="E153" s="18"/>
      <c r="F153" s="18"/>
      <c r="G153" s="8"/>
    </row>
    <row r="154" spans="2:7" x14ac:dyDescent="0.15">
      <c r="B154" s="19"/>
      <c r="C154" s="17"/>
      <c r="D154" s="18"/>
      <c r="E154" s="18"/>
      <c r="F154" s="18"/>
      <c r="G154" s="8"/>
    </row>
    <row r="155" spans="2:7" x14ac:dyDescent="0.15">
      <c r="B155" s="19"/>
      <c r="C155" s="17"/>
      <c r="D155" s="18"/>
      <c r="E155" s="18"/>
      <c r="F155" s="18"/>
      <c r="G155" s="8"/>
    </row>
    <row r="156" spans="2:7" x14ac:dyDescent="0.15">
      <c r="B156" s="19"/>
      <c r="C156" s="17"/>
      <c r="D156" s="18"/>
      <c r="E156" s="18"/>
      <c r="F156" s="18"/>
      <c r="G156" s="8"/>
    </row>
    <row r="157" spans="2:7" x14ac:dyDescent="0.15">
      <c r="B157" s="19"/>
      <c r="C157" s="17"/>
      <c r="D157" s="18"/>
      <c r="E157" s="18"/>
      <c r="F157" s="18"/>
      <c r="G157" s="8"/>
    </row>
    <row r="158" spans="2:7" x14ac:dyDescent="0.15">
      <c r="B158" s="19"/>
      <c r="C158" s="17"/>
      <c r="D158" s="18"/>
      <c r="E158" s="18"/>
      <c r="F158" s="18"/>
      <c r="G158" s="8"/>
    </row>
    <row r="159" spans="2:7" x14ac:dyDescent="0.15">
      <c r="B159" s="19"/>
      <c r="C159" s="17"/>
      <c r="D159" s="18"/>
      <c r="E159" s="18"/>
      <c r="F159" s="18"/>
      <c r="G159" s="8"/>
    </row>
    <row r="160" spans="2:7" x14ac:dyDescent="0.15">
      <c r="B160" s="19"/>
      <c r="C160" s="17"/>
      <c r="D160" s="18"/>
      <c r="E160" s="18"/>
      <c r="F160" s="18"/>
      <c r="G160" s="8"/>
    </row>
    <row r="161" spans="2:7" x14ac:dyDescent="0.15">
      <c r="B161" s="19"/>
      <c r="C161" s="17"/>
      <c r="D161" s="18"/>
      <c r="E161" s="18"/>
      <c r="F161" s="18"/>
      <c r="G161" s="8"/>
    </row>
    <row r="162" spans="2:7" x14ac:dyDescent="0.15">
      <c r="B162" s="19"/>
      <c r="C162" s="17"/>
      <c r="D162" s="18"/>
      <c r="E162" s="18"/>
      <c r="F162" s="18"/>
      <c r="G162" s="8"/>
    </row>
    <row r="163" spans="2:7" x14ac:dyDescent="0.15">
      <c r="B163" s="19"/>
      <c r="C163" s="17"/>
      <c r="D163" s="18"/>
      <c r="E163" s="18"/>
      <c r="F163" s="18"/>
      <c r="G163" s="8"/>
    </row>
    <row r="164" spans="2:7" x14ac:dyDescent="0.15">
      <c r="B164" s="19"/>
      <c r="C164" s="17"/>
      <c r="D164" s="18"/>
      <c r="E164" s="18"/>
      <c r="F164" s="18"/>
      <c r="G164" s="8"/>
    </row>
    <row r="165" spans="2:7" x14ac:dyDescent="0.15">
      <c r="B165" s="19"/>
      <c r="C165" s="17"/>
      <c r="D165" s="18"/>
      <c r="E165" s="18"/>
      <c r="F165" s="18"/>
      <c r="G165" s="8"/>
    </row>
    <row r="166" spans="2:7" x14ac:dyDescent="0.15">
      <c r="B166" s="19"/>
      <c r="C166" s="17"/>
      <c r="D166" s="18"/>
      <c r="E166" s="18"/>
      <c r="F166" s="18"/>
      <c r="G166" s="8"/>
    </row>
    <row r="167" spans="2:7" x14ac:dyDescent="0.15">
      <c r="B167" s="19"/>
      <c r="C167" s="17"/>
      <c r="D167" s="18"/>
      <c r="E167" s="18"/>
      <c r="F167" s="18"/>
      <c r="G167" s="8"/>
    </row>
    <row r="168" spans="2:7" x14ac:dyDescent="0.15">
      <c r="B168" s="19"/>
      <c r="C168" s="17"/>
      <c r="D168" s="18"/>
      <c r="E168" s="18"/>
      <c r="F168" s="18"/>
      <c r="G168" s="8"/>
    </row>
    <row r="169" spans="2:7" x14ac:dyDescent="0.15">
      <c r="B169" s="19"/>
      <c r="C169" s="17"/>
      <c r="D169" s="18"/>
      <c r="E169" s="18"/>
      <c r="F169" s="18"/>
      <c r="G169" s="8"/>
    </row>
    <row r="170" spans="2:7" x14ac:dyDescent="0.15">
      <c r="B170" s="19"/>
      <c r="C170" s="17"/>
      <c r="D170" s="18"/>
      <c r="E170" s="18"/>
      <c r="F170" s="18"/>
      <c r="G170" s="8"/>
    </row>
    <row r="171" spans="2:7" x14ac:dyDescent="0.15">
      <c r="B171" s="19"/>
      <c r="C171" s="17"/>
      <c r="D171" s="18"/>
      <c r="E171" s="18"/>
      <c r="F171" s="18"/>
      <c r="G171" s="8"/>
    </row>
    <row r="172" spans="2:7" x14ac:dyDescent="0.15">
      <c r="B172" s="19"/>
      <c r="C172" s="17"/>
      <c r="D172" s="18"/>
      <c r="E172" s="18"/>
      <c r="F172" s="18"/>
      <c r="G172" s="8"/>
    </row>
    <row r="173" spans="2:7" x14ac:dyDescent="0.15">
      <c r="B173" s="19"/>
      <c r="C173" s="17"/>
      <c r="D173" s="18"/>
      <c r="E173" s="18"/>
      <c r="F173" s="18"/>
      <c r="G173" s="8"/>
    </row>
    <row r="174" spans="2:7" x14ac:dyDescent="0.15">
      <c r="B174" s="19"/>
      <c r="C174" s="17"/>
      <c r="D174" s="18"/>
      <c r="E174" s="18"/>
      <c r="F174" s="18"/>
      <c r="G174" s="8"/>
    </row>
    <row r="175" spans="2:7" x14ac:dyDescent="0.15">
      <c r="B175" s="19"/>
      <c r="C175" s="17"/>
      <c r="D175" s="18"/>
      <c r="E175" s="18"/>
      <c r="F175" s="18"/>
      <c r="G175" s="8"/>
    </row>
    <row r="176" spans="2:7" x14ac:dyDescent="0.15">
      <c r="B176" s="19"/>
      <c r="C176" s="17"/>
      <c r="D176" s="18"/>
      <c r="E176" s="18"/>
      <c r="F176" s="18"/>
      <c r="G176" s="8"/>
    </row>
    <row r="177" spans="2:7" x14ac:dyDescent="0.15">
      <c r="B177" s="19"/>
      <c r="C177" s="17"/>
      <c r="D177" s="18"/>
      <c r="E177" s="18"/>
      <c r="F177" s="18"/>
      <c r="G177" s="8"/>
    </row>
    <row r="178" spans="2:7" x14ac:dyDescent="0.15">
      <c r="B178" s="19"/>
      <c r="C178" s="17"/>
      <c r="D178" s="18"/>
      <c r="E178" s="18"/>
      <c r="F178" s="18"/>
      <c r="G178" s="8"/>
    </row>
    <row r="179" spans="2:7" x14ac:dyDescent="0.15">
      <c r="B179" s="19"/>
      <c r="C179" s="17"/>
      <c r="D179" s="18"/>
      <c r="E179" s="18"/>
      <c r="F179" s="18"/>
      <c r="G179" s="8"/>
    </row>
    <row r="180" spans="2:7" x14ac:dyDescent="0.15">
      <c r="B180" s="19"/>
      <c r="C180" s="17"/>
      <c r="D180" s="18"/>
      <c r="E180" s="18"/>
      <c r="F180" s="18"/>
      <c r="G180" s="8"/>
    </row>
    <row r="181" spans="2:7" x14ac:dyDescent="0.15">
      <c r="B181" s="19"/>
      <c r="C181" s="17"/>
      <c r="D181" s="18"/>
      <c r="E181" s="18"/>
      <c r="F181" s="18"/>
      <c r="G181" s="8"/>
    </row>
    <row r="182" spans="2:7" x14ac:dyDescent="0.15">
      <c r="B182" s="19"/>
      <c r="C182" s="17"/>
      <c r="D182" s="18"/>
      <c r="E182" s="18"/>
      <c r="F182" s="18"/>
      <c r="G182" s="8"/>
    </row>
    <row r="183" spans="2:7" x14ac:dyDescent="0.15">
      <c r="B183" s="19"/>
      <c r="C183" s="17"/>
      <c r="D183" s="18"/>
      <c r="E183" s="18"/>
      <c r="F183" s="18"/>
      <c r="G183" s="8"/>
    </row>
    <row r="184" spans="2:7" x14ac:dyDescent="0.15">
      <c r="B184" s="19"/>
      <c r="C184" s="17"/>
      <c r="D184" s="18"/>
      <c r="E184" s="18"/>
      <c r="F184" s="18"/>
      <c r="G184" s="8"/>
    </row>
    <row r="185" spans="2:7" x14ac:dyDescent="0.15">
      <c r="B185" s="19"/>
      <c r="C185" s="17"/>
      <c r="D185" s="18"/>
      <c r="E185" s="18"/>
      <c r="F185" s="18"/>
      <c r="G185" s="8"/>
    </row>
    <row r="186" spans="2:7" x14ac:dyDescent="0.15">
      <c r="B186" s="19"/>
      <c r="C186" s="17"/>
      <c r="D186" s="18"/>
      <c r="E186" s="18"/>
      <c r="F186" s="18"/>
      <c r="G186" s="8"/>
    </row>
    <row r="187" spans="2:7" x14ac:dyDescent="0.15">
      <c r="B187" s="19"/>
      <c r="C187" s="17"/>
      <c r="D187" s="18"/>
      <c r="E187" s="18"/>
      <c r="F187" s="18"/>
      <c r="G187" s="8"/>
    </row>
    <row r="188" spans="2:7" x14ac:dyDescent="0.15">
      <c r="B188" s="19"/>
      <c r="C188" s="17"/>
      <c r="D188" s="18"/>
      <c r="E188" s="18"/>
      <c r="F188" s="18"/>
      <c r="G188" s="8"/>
    </row>
    <row r="189" spans="2:7" x14ac:dyDescent="0.15">
      <c r="B189" s="19"/>
      <c r="C189" s="17"/>
      <c r="D189" s="18"/>
      <c r="E189" s="18"/>
      <c r="F189" s="18"/>
      <c r="G189" s="8"/>
    </row>
    <row r="190" spans="2:7" x14ac:dyDescent="0.15">
      <c r="B190" s="19"/>
      <c r="C190" s="17"/>
      <c r="D190" s="18"/>
      <c r="E190" s="18"/>
      <c r="F190" s="18"/>
      <c r="G190" s="8"/>
    </row>
    <row r="191" spans="2:7" x14ac:dyDescent="0.15">
      <c r="B191" s="19"/>
      <c r="C191" s="17"/>
      <c r="D191" s="18"/>
      <c r="E191" s="18"/>
      <c r="F191" s="18"/>
      <c r="G191" s="8"/>
    </row>
    <row r="192" spans="2:7" x14ac:dyDescent="0.15">
      <c r="B192" s="19"/>
      <c r="C192" s="17"/>
      <c r="D192" s="18"/>
      <c r="E192" s="18"/>
      <c r="F192" s="18"/>
      <c r="G192" s="8"/>
    </row>
    <row r="193" spans="2:7" x14ac:dyDescent="0.15">
      <c r="B193" s="19"/>
      <c r="C193" s="17"/>
      <c r="D193" s="18"/>
      <c r="E193" s="18"/>
      <c r="F193" s="18"/>
      <c r="G193" s="8"/>
    </row>
    <row r="194" spans="2:7" x14ac:dyDescent="0.15">
      <c r="B194" s="19"/>
      <c r="C194" s="17"/>
      <c r="D194" s="18"/>
      <c r="E194" s="18"/>
      <c r="F194" s="18"/>
      <c r="G194" s="8"/>
    </row>
    <row r="195" spans="2:7" x14ac:dyDescent="0.15">
      <c r="B195" s="19"/>
      <c r="C195" s="17"/>
      <c r="D195" s="18"/>
      <c r="E195" s="18"/>
      <c r="F195" s="18"/>
      <c r="G195" s="8"/>
    </row>
    <row r="196" spans="2:7" x14ac:dyDescent="0.15">
      <c r="B196" s="19"/>
      <c r="C196" s="17"/>
      <c r="D196" s="18"/>
      <c r="E196" s="18"/>
      <c r="F196" s="18"/>
      <c r="G196" s="8"/>
    </row>
    <row r="197" spans="2:7" x14ac:dyDescent="0.15">
      <c r="B197" s="19"/>
      <c r="C197" s="17"/>
      <c r="D197" s="18"/>
      <c r="E197" s="18"/>
      <c r="F197" s="18"/>
      <c r="G197" s="8"/>
    </row>
    <row r="198" spans="2:7" x14ac:dyDescent="0.15">
      <c r="B198" s="19"/>
      <c r="C198" s="17"/>
      <c r="D198" s="18"/>
      <c r="E198" s="18"/>
      <c r="F198" s="18"/>
      <c r="G198" s="8"/>
    </row>
    <row r="199" spans="2:7" x14ac:dyDescent="0.15">
      <c r="B199" s="19"/>
      <c r="C199" s="17"/>
      <c r="D199" s="18"/>
      <c r="E199" s="18"/>
      <c r="F199" s="18"/>
      <c r="G199" s="8"/>
    </row>
    <row r="200" spans="2:7" x14ac:dyDescent="0.15">
      <c r="B200" s="19"/>
      <c r="C200" s="17"/>
      <c r="D200" s="18"/>
      <c r="E200" s="18"/>
      <c r="F200" s="18"/>
      <c r="G200" s="8"/>
    </row>
    <row r="201" spans="2:7" x14ac:dyDescent="0.15">
      <c r="B201" s="19"/>
      <c r="C201" s="17"/>
      <c r="D201" s="18"/>
      <c r="E201" s="18"/>
      <c r="F201" s="18"/>
      <c r="G201" s="8"/>
    </row>
    <row r="202" spans="2:7" x14ac:dyDescent="0.15">
      <c r="B202" s="19"/>
      <c r="C202" s="17"/>
      <c r="D202" s="18"/>
      <c r="E202" s="18"/>
      <c r="F202" s="18"/>
      <c r="G202" s="8"/>
    </row>
    <row r="203" spans="2:7" x14ac:dyDescent="0.15">
      <c r="B203" s="19"/>
      <c r="C203" s="17"/>
      <c r="D203" s="18"/>
      <c r="E203" s="18"/>
      <c r="F203" s="18"/>
      <c r="G203" s="8"/>
    </row>
    <row r="204" spans="2:7" x14ac:dyDescent="0.15">
      <c r="B204" s="19"/>
      <c r="C204" s="17"/>
      <c r="D204" s="18"/>
      <c r="E204" s="18"/>
      <c r="F204" s="18"/>
      <c r="G204" s="8"/>
    </row>
    <row r="205" spans="2:7" x14ac:dyDescent="0.15">
      <c r="B205" s="19"/>
      <c r="C205" s="17"/>
      <c r="D205" s="18"/>
      <c r="E205" s="18"/>
      <c r="F205" s="18"/>
      <c r="G205" s="8"/>
    </row>
    <row r="206" spans="2:7" x14ac:dyDescent="0.15">
      <c r="B206" s="19"/>
      <c r="C206" s="17"/>
      <c r="D206" s="18"/>
      <c r="E206" s="18"/>
      <c r="F206" s="18"/>
      <c r="G206" s="8"/>
    </row>
    <row r="207" spans="2:7" x14ac:dyDescent="0.15">
      <c r="B207" s="19"/>
      <c r="C207" s="17"/>
      <c r="D207" s="18"/>
      <c r="E207" s="18"/>
      <c r="F207" s="18"/>
      <c r="G207" s="8"/>
    </row>
    <row r="208" spans="2:7" x14ac:dyDescent="0.15">
      <c r="B208" s="19"/>
      <c r="C208" s="17"/>
      <c r="D208" s="18"/>
      <c r="E208" s="18"/>
      <c r="F208" s="18"/>
      <c r="G208" s="8"/>
    </row>
    <row r="209" spans="2:7" x14ac:dyDescent="0.15">
      <c r="B209" s="19"/>
      <c r="C209" s="17"/>
      <c r="D209" s="18"/>
      <c r="E209" s="18"/>
      <c r="F209" s="18"/>
      <c r="G209" s="8"/>
    </row>
    <row r="210" spans="2:7" x14ac:dyDescent="0.15">
      <c r="B210" s="19"/>
      <c r="C210" s="17"/>
      <c r="D210" s="18"/>
      <c r="E210" s="18"/>
      <c r="F210" s="18"/>
      <c r="G210" s="8"/>
    </row>
    <row r="211" spans="2:7" x14ac:dyDescent="0.15">
      <c r="B211" s="19"/>
      <c r="C211" s="17"/>
      <c r="D211" s="18"/>
      <c r="E211" s="18"/>
      <c r="F211" s="18"/>
      <c r="G211" s="8"/>
    </row>
    <row r="212" spans="2:7" x14ac:dyDescent="0.15">
      <c r="B212" s="19"/>
      <c r="C212" s="17"/>
      <c r="D212" s="18"/>
      <c r="E212" s="18"/>
      <c r="F212" s="18"/>
      <c r="G212" s="8"/>
    </row>
    <row r="213" spans="2:7" x14ac:dyDescent="0.15">
      <c r="B213" s="19"/>
      <c r="C213" s="17"/>
      <c r="D213" s="18"/>
      <c r="E213" s="18"/>
      <c r="F213" s="18"/>
      <c r="G213" s="8"/>
    </row>
    <row r="214" spans="2:7" x14ac:dyDescent="0.15">
      <c r="B214" s="19"/>
      <c r="C214" s="17"/>
      <c r="D214" s="18"/>
      <c r="E214" s="18"/>
      <c r="F214" s="18"/>
      <c r="G214" s="8"/>
    </row>
    <row r="215" spans="2:7" x14ac:dyDescent="0.15">
      <c r="B215" s="19"/>
      <c r="C215" s="17"/>
      <c r="D215" s="18"/>
      <c r="E215" s="18"/>
      <c r="F215" s="18"/>
      <c r="G215" s="8"/>
    </row>
    <row r="216" spans="2:7" x14ac:dyDescent="0.15">
      <c r="B216" s="19"/>
      <c r="C216" s="17"/>
      <c r="D216" s="18"/>
      <c r="E216" s="18"/>
      <c r="F216" s="18"/>
      <c r="G216" s="8"/>
    </row>
    <row r="217" spans="2:7" x14ac:dyDescent="0.15">
      <c r="B217" s="19"/>
      <c r="C217" s="17"/>
      <c r="D217" s="18"/>
      <c r="E217" s="18"/>
      <c r="F217" s="18"/>
      <c r="G217" s="8"/>
    </row>
    <row r="218" spans="2:7" x14ac:dyDescent="0.15">
      <c r="B218" s="19"/>
      <c r="C218" s="17"/>
      <c r="D218" s="18"/>
      <c r="E218" s="18"/>
      <c r="F218" s="18"/>
      <c r="G218" s="8"/>
    </row>
    <row r="219" spans="2:7" x14ac:dyDescent="0.15">
      <c r="B219" s="19"/>
      <c r="C219" s="17"/>
      <c r="D219" s="18"/>
      <c r="E219" s="18"/>
      <c r="F219" s="18"/>
      <c r="G219" s="8"/>
    </row>
    <row r="220" spans="2:7" x14ac:dyDescent="0.15">
      <c r="B220" s="19"/>
      <c r="C220" s="17"/>
      <c r="D220" s="18"/>
      <c r="E220" s="18"/>
      <c r="F220" s="18"/>
      <c r="G220" s="8"/>
    </row>
    <row r="221" spans="2:7" x14ac:dyDescent="0.15">
      <c r="B221" s="19"/>
      <c r="C221" s="17"/>
      <c r="D221" s="18"/>
      <c r="E221" s="18"/>
      <c r="F221" s="18"/>
      <c r="G221" s="8"/>
    </row>
    <row r="222" spans="2:7" x14ac:dyDescent="0.15">
      <c r="B222" s="19"/>
      <c r="C222" s="17"/>
      <c r="D222" s="18"/>
      <c r="E222" s="18"/>
      <c r="F222" s="18"/>
      <c r="G222" s="8"/>
    </row>
    <row r="223" spans="2:7" x14ac:dyDescent="0.15">
      <c r="B223" s="19"/>
      <c r="C223" s="17"/>
      <c r="D223" s="18"/>
      <c r="E223" s="18"/>
      <c r="F223" s="18"/>
      <c r="G223" s="8"/>
    </row>
    <row r="224" spans="2:7" x14ac:dyDescent="0.15">
      <c r="B224" s="19"/>
      <c r="C224" s="17"/>
      <c r="D224" s="18"/>
      <c r="E224" s="18"/>
      <c r="F224" s="18"/>
      <c r="G224" s="8"/>
    </row>
    <row r="225" spans="2:7" x14ac:dyDescent="0.15">
      <c r="B225" s="19"/>
      <c r="C225" s="17"/>
      <c r="D225" s="18"/>
      <c r="E225" s="18"/>
      <c r="F225" s="18"/>
      <c r="G225" s="8"/>
    </row>
    <row r="226" spans="2:7" x14ac:dyDescent="0.15">
      <c r="B226" s="19"/>
      <c r="C226" s="17"/>
      <c r="D226" s="18"/>
      <c r="E226" s="18"/>
      <c r="F226" s="18"/>
      <c r="G226" s="8"/>
    </row>
    <row r="227" spans="2:7" x14ac:dyDescent="0.15">
      <c r="B227" s="19"/>
      <c r="C227" s="17"/>
      <c r="D227" s="18"/>
      <c r="E227" s="18"/>
      <c r="F227" s="18"/>
      <c r="G227" s="8"/>
    </row>
    <row r="228" spans="2:7" x14ac:dyDescent="0.15">
      <c r="B228" s="19"/>
      <c r="C228" s="17"/>
      <c r="D228" s="18"/>
      <c r="E228" s="18"/>
      <c r="F228" s="18"/>
      <c r="G228" s="8"/>
    </row>
    <row r="229" spans="2:7" x14ac:dyDescent="0.15">
      <c r="B229" s="19"/>
      <c r="C229" s="17"/>
      <c r="D229" s="18"/>
      <c r="E229" s="18"/>
      <c r="F229" s="18"/>
      <c r="G229" s="8"/>
    </row>
    <row r="230" spans="2:7" x14ac:dyDescent="0.15">
      <c r="B230" s="19"/>
      <c r="C230" s="17"/>
      <c r="D230" s="18"/>
      <c r="E230" s="18"/>
      <c r="F230" s="18"/>
      <c r="G230" s="8"/>
    </row>
    <row r="231" spans="2:7" x14ac:dyDescent="0.15">
      <c r="B231" s="19"/>
      <c r="C231" s="17"/>
      <c r="D231" s="18"/>
      <c r="E231" s="18"/>
      <c r="F231" s="18"/>
      <c r="G231" s="8"/>
    </row>
    <row r="232" spans="2:7" x14ac:dyDescent="0.15">
      <c r="B232" s="19"/>
      <c r="C232" s="17"/>
      <c r="D232" s="18"/>
      <c r="E232" s="18"/>
      <c r="F232" s="18"/>
      <c r="G232" s="8"/>
    </row>
    <row r="233" spans="2:7" x14ac:dyDescent="0.15">
      <c r="B233" s="19"/>
      <c r="C233" s="17"/>
      <c r="D233" s="18"/>
      <c r="E233" s="18"/>
      <c r="F233" s="18"/>
      <c r="G233" s="8"/>
    </row>
    <row r="234" spans="2:7" x14ac:dyDescent="0.15">
      <c r="B234" s="19"/>
      <c r="C234" s="17"/>
      <c r="D234" s="18"/>
      <c r="E234" s="18"/>
      <c r="F234" s="18"/>
      <c r="G234" s="8"/>
    </row>
    <row r="235" spans="2:7" x14ac:dyDescent="0.15">
      <c r="B235" s="19"/>
      <c r="C235" s="17"/>
      <c r="D235" s="18"/>
      <c r="E235" s="18"/>
      <c r="F235" s="18"/>
      <c r="G235" s="8"/>
    </row>
    <row r="236" spans="2:7" x14ac:dyDescent="0.15">
      <c r="B236" s="19"/>
      <c r="C236" s="17"/>
      <c r="D236" s="18"/>
      <c r="E236" s="18"/>
      <c r="F236" s="18"/>
      <c r="G236" s="8"/>
    </row>
    <row r="237" spans="2:7" x14ac:dyDescent="0.15">
      <c r="B237" s="19"/>
      <c r="C237" s="17"/>
      <c r="D237" s="18"/>
      <c r="E237" s="18"/>
      <c r="F237" s="18"/>
      <c r="G237" s="8"/>
    </row>
    <row r="238" spans="2:7" x14ac:dyDescent="0.15">
      <c r="B238" s="19"/>
      <c r="C238" s="17"/>
      <c r="D238" s="18"/>
      <c r="E238" s="18"/>
      <c r="F238" s="18"/>
      <c r="G238" s="8"/>
    </row>
    <row r="239" spans="2:7" x14ac:dyDescent="0.15">
      <c r="B239" s="19"/>
      <c r="C239" s="17"/>
      <c r="D239" s="18"/>
      <c r="E239" s="18"/>
      <c r="F239" s="18"/>
      <c r="G239" s="8"/>
    </row>
    <row r="240" spans="2:7" x14ac:dyDescent="0.15">
      <c r="B240" s="19"/>
      <c r="C240" s="17"/>
      <c r="D240" s="18"/>
      <c r="E240" s="18"/>
      <c r="F240" s="18"/>
      <c r="G240" s="8"/>
    </row>
    <row r="241" spans="2:7" x14ac:dyDescent="0.15">
      <c r="B241" s="19"/>
      <c r="C241" s="17"/>
      <c r="D241" s="18"/>
      <c r="E241" s="18"/>
      <c r="F241" s="18"/>
      <c r="G241" s="8"/>
    </row>
    <row r="242" spans="2:7" x14ac:dyDescent="0.15">
      <c r="B242" s="19"/>
      <c r="C242" s="17"/>
      <c r="D242" s="18"/>
      <c r="E242" s="18"/>
      <c r="F242" s="18"/>
      <c r="G242" s="8"/>
    </row>
    <row r="243" spans="2:7" x14ac:dyDescent="0.15">
      <c r="B243" s="19"/>
      <c r="C243" s="17"/>
      <c r="D243" s="18"/>
      <c r="E243" s="18"/>
      <c r="F243" s="18"/>
      <c r="G243" s="8"/>
    </row>
    <row r="244" spans="2:7" x14ac:dyDescent="0.15">
      <c r="B244" s="19"/>
      <c r="C244" s="17"/>
      <c r="D244" s="18"/>
      <c r="E244" s="18"/>
      <c r="F244" s="18"/>
      <c r="G244" s="8"/>
    </row>
    <row r="245" spans="2:7" x14ac:dyDescent="0.15">
      <c r="B245" s="19"/>
      <c r="C245" s="17"/>
      <c r="D245" s="18"/>
      <c r="E245" s="18"/>
      <c r="F245" s="18"/>
      <c r="G245" s="8"/>
    </row>
    <row r="246" spans="2:7" x14ac:dyDescent="0.15">
      <c r="B246" s="19"/>
      <c r="C246" s="17"/>
      <c r="D246" s="18"/>
      <c r="E246" s="18"/>
      <c r="F246" s="18"/>
      <c r="G246" s="8"/>
    </row>
    <row r="247" spans="2:7" x14ac:dyDescent="0.15">
      <c r="B247" s="19"/>
      <c r="C247" s="17"/>
      <c r="D247" s="18"/>
      <c r="E247" s="18"/>
      <c r="F247" s="18"/>
      <c r="G247" s="8"/>
    </row>
    <row r="248" spans="2:7" x14ac:dyDescent="0.15">
      <c r="B248" s="19"/>
      <c r="C248" s="17"/>
      <c r="D248" s="18"/>
      <c r="E248" s="18"/>
      <c r="F248" s="18"/>
      <c r="G248" s="8"/>
    </row>
    <row r="249" spans="2:7" x14ac:dyDescent="0.15">
      <c r="B249" s="19"/>
      <c r="C249" s="17"/>
      <c r="D249" s="18"/>
      <c r="E249" s="18"/>
      <c r="F249" s="18"/>
      <c r="G249" s="8"/>
    </row>
    <row r="250" spans="2:7" x14ac:dyDescent="0.15">
      <c r="B250" s="19"/>
      <c r="C250" s="17"/>
      <c r="D250" s="18"/>
      <c r="E250" s="18"/>
      <c r="F250" s="18"/>
      <c r="G250" s="8"/>
    </row>
    <row r="251" spans="2:7" x14ac:dyDescent="0.15">
      <c r="B251" s="19"/>
      <c r="C251" s="17"/>
      <c r="D251" s="18"/>
      <c r="E251" s="18"/>
      <c r="F251" s="18"/>
      <c r="G251" s="8"/>
    </row>
    <row r="252" spans="2:7" x14ac:dyDescent="0.15">
      <c r="B252" s="19"/>
      <c r="C252" s="17"/>
      <c r="D252" s="18"/>
      <c r="E252" s="18"/>
      <c r="F252" s="18"/>
      <c r="G252" s="8"/>
    </row>
    <row r="253" spans="2:7" x14ac:dyDescent="0.15">
      <c r="B253" s="19"/>
      <c r="C253" s="17"/>
      <c r="D253" s="18"/>
      <c r="E253" s="18"/>
      <c r="F253" s="18"/>
      <c r="G253" s="8"/>
    </row>
    <row r="254" spans="2:7" x14ac:dyDescent="0.15">
      <c r="B254" s="19"/>
      <c r="C254" s="17"/>
      <c r="D254" s="18"/>
      <c r="E254" s="18"/>
      <c r="F254" s="18"/>
      <c r="G254" s="8"/>
    </row>
  </sheetData>
  <mergeCells count="15">
    <mergeCell ref="B39:B40"/>
    <mergeCell ref="G38:G40"/>
    <mergeCell ref="F15:F16"/>
    <mergeCell ref="D15:D16"/>
    <mergeCell ref="B36:B37"/>
    <mergeCell ref="G21:G22"/>
    <mergeCell ref="G36:G37"/>
    <mergeCell ref="G25:G28"/>
    <mergeCell ref="B2:H2"/>
    <mergeCell ref="C15:C16"/>
    <mergeCell ref="G15:G16"/>
    <mergeCell ref="E15:E16"/>
    <mergeCell ref="G5:G7"/>
    <mergeCell ref="H15:H16"/>
    <mergeCell ref="B5:B7"/>
  </mergeCells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  <hyperlink ref="H13" r:id="rId8" xr:uid="{00000000-0004-0000-0000-000007000000}"/>
    <hyperlink ref="H14" r:id="rId9" xr:uid="{00000000-0004-0000-0000-000008000000}"/>
    <hyperlink ref="H15" r:id="rId10" xr:uid="{00000000-0004-0000-0000-000009000000}"/>
    <hyperlink ref="H17" r:id="rId11" xr:uid="{00000000-0004-0000-0000-00000A000000}"/>
    <hyperlink ref="H18" r:id="rId12" xr:uid="{00000000-0004-0000-0000-00000B000000}"/>
    <hyperlink ref="H19" r:id="rId13" xr:uid="{00000000-0004-0000-0000-00000C000000}"/>
    <hyperlink ref="H21" r:id="rId14" xr:uid="{00000000-0004-0000-0000-00000D000000}"/>
    <hyperlink ref="H25" r:id="rId15" xr:uid="{00000000-0004-0000-0000-00000E000000}"/>
    <hyperlink ref="H26" r:id="rId16" xr:uid="{00000000-0004-0000-0000-00000F000000}"/>
    <hyperlink ref="H27" r:id="rId17" xr:uid="{00000000-0004-0000-0000-000010000000}"/>
    <hyperlink ref="H28" r:id="rId18" xr:uid="{00000000-0004-0000-0000-000011000000}"/>
    <hyperlink ref="H30" r:id="rId19" xr:uid="{00000000-0004-0000-0000-000012000000}"/>
    <hyperlink ref="H31" r:id="rId20" xr:uid="{00000000-0004-0000-0000-000013000000}"/>
    <hyperlink ref="H32" r:id="rId21" xr:uid="{00000000-0004-0000-0000-000014000000}"/>
    <hyperlink ref="H33" r:id="rId22" xr:uid="{00000000-0004-0000-0000-000015000000}"/>
    <hyperlink ref="H34" r:id="rId23" xr:uid="{00000000-0004-0000-0000-000016000000}"/>
    <hyperlink ref="H35" r:id="rId24" xr:uid="{00000000-0004-0000-0000-000017000000}"/>
    <hyperlink ref="H36" r:id="rId25" xr:uid="{00000000-0004-0000-0000-000018000000}"/>
    <hyperlink ref="H37" r:id="rId26" xr:uid="{00000000-0004-0000-0000-000019000000}"/>
    <hyperlink ref="H38" r:id="rId27" xr:uid="{00000000-0004-0000-0000-00001A000000}"/>
    <hyperlink ref="H42" r:id="rId28" xr:uid="{00000000-0004-0000-0000-000020000000}"/>
    <hyperlink ref="H43" r:id="rId29" xr:uid="{00000000-0004-0000-0000-000021000000}"/>
    <hyperlink ref="H44" r:id="rId30" xr:uid="{00000000-0004-0000-0000-000022000000}"/>
    <hyperlink ref="H45" r:id="rId31" xr:uid="{00000000-0004-0000-0000-000023000000}"/>
    <hyperlink ref="H46" r:id="rId32" xr:uid="{00000000-0004-0000-0000-000024000000}"/>
    <hyperlink ref="H39" r:id="rId33" xr:uid="{91F1B040-AF39-A849-9101-30A09F71BA05}"/>
    <hyperlink ref="H40" r:id="rId34" xr:uid="{7803EDEE-7A9E-C441-87FC-475CD1CE9866}"/>
    <hyperlink ref="H48" r:id="rId35" xr:uid="{00000000-0004-0000-0000-000025000000}"/>
    <hyperlink ref="H49" r:id="rId36" xr:uid="{00000000-0004-0000-0000-000026000000}"/>
    <hyperlink ref="H50" r:id="rId37" xr:uid="{00000000-0004-0000-0000-000027000000}"/>
  </hyperlinks>
  <pageMargins left="0.7" right="0.7" top="0.75" bottom="0.75" header="0.3" footer="0.3"/>
  <pageSetup paperSize="9" scale="36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239"/>
  <sheetViews>
    <sheetView workbookViewId="0">
      <pane xSplit="1" topLeftCell="B1" activePane="topRight" state="frozen"/>
      <selection pane="topRight" activeCell="E51" sqref="E51"/>
    </sheetView>
  </sheetViews>
  <sheetFormatPr baseColWidth="10" defaultColWidth="12.6640625" defaultRowHeight="13" x14ac:dyDescent="0.15"/>
  <cols>
    <col min="1" max="1" width="49.1640625" style="97" customWidth="1"/>
    <col min="2" max="2" width="5.5" style="97" customWidth="1"/>
    <col min="3" max="3" width="12.6640625" style="109" customWidth="1"/>
    <col min="4" max="4" width="66.6640625" style="97" customWidth="1"/>
    <col min="5" max="5" width="164.1640625" style="97" customWidth="1"/>
    <col min="6" max="7" width="12.6640625" style="97" customWidth="1"/>
    <col min="8" max="16384" width="12.6640625" style="97"/>
  </cols>
  <sheetData>
    <row r="1" spans="1:11" s="74" customFormat="1" ht="28" customHeight="1" x14ac:dyDescent="0.15">
      <c r="A1" s="193" t="s">
        <v>101</v>
      </c>
      <c r="B1" s="194"/>
      <c r="C1" s="194"/>
      <c r="D1" s="194"/>
      <c r="E1" s="194"/>
    </row>
    <row r="2" spans="1:11" ht="17" customHeight="1" x14ac:dyDescent="0.2">
      <c r="A2" s="111" t="s">
        <v>1</v>
      </c>
      <c r="B2" s="112" t="s">
        <v>2</v>
      </c>
      <c r="C2" s="113" t="s">
        <v>102</v>
      </c>
      <c r="D2" s="114" t="s">
        <v>6</v>
      </c>
      <c r="E2" s="115" t="s">
        <v>103</v>
      </c>
      <c r="F2" s="4"/>
      <c r="G2" s="4"/>
      <c r="H2" s="4"/>
      <c r="I2" s="4"/>
      <c r="J2" s="4"/>
      <c r="K2" s="4"/>
    </row>
    <row r="3" spans="1:11" ht="17" customHeight="1" x14ac:dyDescent="0.2">
      <c r="A3" s="116" t="s">
        <v>8</v>
      </c>
      <c r="B3" s="116"/>
      <c r="C3" s="117"/>
      <c r="D3" s="116"/>
      <c r="E3" s="116"/>
      <c r="F3" s="96"/>
      <c r="G3" s="4"/>
      <c r="H3" s="4"/>
      <c r="I3" s="4"/>
      <c r="J3" s="4"/>
      <c r="K3" s="4"/>
    </row>
    <row r="4" spans="1:11" ht="102" customHeight="1" x14ac:dyDescent="0.2">
      <c r="A4" s="118" t="s">
        <v>9</v>
      </c>
      <c r="B4" s="119">
        <v>1</v>
      </c>
      <c r="C4" s="120">
        <v>429.95</v>
      </c>
      <c r="D4" s="121" t="s">
        <v>104</v>
      </c>
      <c r="E4" s="122" t="s">
        <v>105</v>
      </c>
      <c r="F4" s="96"/>
      <c r="G4" s="4"/>
      <c r="H4" s="4"/>
      <c r="I4" s="4"/>
      <c r="J4" s="4"/>
      <c r="K4" s="4"/>
    </row>
    <row r="5" spans="1:11" ht="17" customHeight="1" x14ac:dyDescent="0.2">
      <c r="A5" s="123" t="s">
        <v>14</v>
      </c>
      <c r="B5" s="119">
        <v>1</v>
      </c>
      <c r="C5" s="120">
        <v>89.99</v>
      </c>
      <c r="D5" s="124"/>
      <c r="E5" s="122" t="s">
        <v>106</v>
      </c>
      <c r="F5" s="100"/>
      <c r="G5" s="4"/>
      <c r="H5" s="4"/>
      <c r="I5" s="4"/>
      <c r="J5" s="4"/>
      <c r="K5" s="4"/>
    </row>
    <row r="6" spans="1:11" ht="17" customHeight="1" x14ac:dyDescent="0.2">
      <c r="A6" s="123" t="s">
        <v>16</v>
      </c>
      <c r="B6" s="119">
        <v>1</v>
      </c>
      <c r="C6" s="120">
        <v>33.99</v>
      </c>
      <c r="D6" s="124"/>
      <c r="E6" s="122" t="s">
        <v>107</v>
      </c>
      <c r="F6" s="100"/>
      <c r="G6" s="4"/>
      <c r="H6" s="4"/>
      <c r="I6" s="4"/>
      <c r="J6" s="4"/>
      <c r="K6" s="4"/>
    </row>
    <row r="7" spans="1:11" ht="17" customHeight="1" x14ac:dyDescent="0.2">
      <c r="A7" s="123" t="s">
        <v>18</v>
      </c>
      <c r="B7" s="119">
        <v>1</v>
      </c>
      <c r="C7" s="120">
        <v>10</v>
      </c>
      <c r="D7" s="124" t="s">
        <v>19</v>
      </c>
      <c r="E7" s="122" t="s">
        <v>20</v>
      </c>
      <c r="F7" s="100"/>
      <c r="G7" s="4"/>
      <c r="H7" s="4"/>
      <c r="I7" s="4"/>
      <c r="J7" s="4"/>
      <c r="K7" s="4"/>
    </row>
    <row r="8" spans="1:11" ht="17" customHeight="1" x14ac:dyDescent="0.2">
      <c r="A8" s="123" t="s">
        <v>21</v>
      </c>
      <c r="B8" s="119">
        <v>1</v>
      </c>
      <c r="C8" s="120">
        <v>20</v>
      </c>
      <c r="D8" s="123" t="s">
        <v>22</v>
      </c>
      <c r="E8" s="122" t="s">
        <v>23</v>
      </c>
      <c r="F8" s="101"/>
      <c r="G8" s="4"/>
      <c r="H8" s="4"/>
      <c r="I8" s="4"/>
      <c r="J8" s="4"/>
      <c r="K8" s="4"/>
    </row>
    <row r="9" spans="1:11" ht="17" customHeight="1" x14ac:dyDescent="0.2">
      <c r="A9" s="125" t="s">
        <v>24</v>
      </c>
      <c r="B9" s="125"/>
      <c r="C9" s="126"/>
      <c r="D9" s="125"/>
      <c r="E9" s="125"/>
      <c r="F9" s="4"/>
      <c r="G9" s="4"/>
      <c r="H9" s="4"/>
      <c r="I9" s="4"/>
      <c r="J9" s="4"/>
      <c r="K9" s="4"/>
    </row>
    <row r="10" spans="1:11" ht="17" customHeight="1" x14ac:dyDescent="0.2">
      <c r="A10" s="123" t="s">
        <v>25</v>
      </c>
      <c r="B10" s="119">
        <v>1</v>
      </c>
      <c r="C10" s="120">
        <v>22.86</v>
      </c>
      <c r="D10" s="123"/>
      <c r="E10" s="122" t="s">
        <v>108</v>
      </c>
      <c r="F10" s="4"/>
      <c r="G10" s="4"/>
      <c r="H10" s="4"/>
      <c r="I10" s="4"/>
      <c r="J10" s="4"/>
      <c r="K10" s="4"/>
    </row>
    <row r="11" spans="1:11" ht="34" customHeight="1" x14ac:dyDescent="0.2">
      <c r="A11" s="123" t="s">
        <v>28</v>
      </c>
      <c r="B11" s="119">
        <v>1</v>
      </c>
      <c r="C11" s="120">
        <v>8.66</v>
      </c>
      <c r="D11" s="123" t="s">
        <v>109</v>
      </c>
      <c r="E11" s="127" t="s">
        <v>110</v>
      </c>
      <c r="F11" s="4"/>
      <c r="G11" s="4"/>
      <c r="H11" s="4"/>
      <c r="I11" s="4"/>
      <c r="J11" s="4"/>
      <c r="K11" s="4"/>
    </row>
    <row r="12" spans="1:11" ht="17" customHeight="1" x14ac:dyDescent="0.2">
      <c r="A12" s="123" t="s">
        <v>31</v>
      </c>
      <c r="B12" s="119">
        <v>2</v>
      </c>
      <c r="C12" s="120">
        <v>3.68</v>
      </c>
      <c r="D12" s="123"/>
      <c r="E12" s="127" t="s">
        <v>111</v>
      </c>
      <c r="F12" s="4"/>
      <c r="G12" s="4"/>
      <c r="H12" s="4"/>
      <c r="I12" s="4"/>
      <c r="J12" s="4"/>
      <c r="K12" s="4"/>
    </row>
    <row r="13" spans="1:11" ht="17" customHeight="1" x14ac:dyDescent="0.2">
      <c r="A13" s="123" t="s">
        <v>34</v>
      </c>
      <c r="B13" s="119">
        <v>4</v>
      </c>
      <c r="C13" s="120">
        <v>10.76</v>
      </c>
      <c r="D13" s="123"/>
      <c r="E13" s="127" t="s">
        <v>112</v>
      </c>
      <c r="F13" s="4"/>
      <c r="G13" s="4"/>
      <c r="H13" s="4"/>
      <c r="I13" s="4"/>
      <c r="J13" s="4"/>
      <c r="K13" s="4"/>
    </row>
    <row r="14" spans="1:11" ht="17" customHeight="1" x14ac:dyDescent="0.2">
      <c r="A14" s="123" t="s">
        <v>35</v>
      </c>
      <c r="B14" s="119">
        <v>6</v>
      </c>
      <c r="C14" s="120">
        <v>27.9</v>
      </c>
      <c r="D14" s="123"/>
      <c r="E14" s="127" t="s">
        <v>113</v>
      </c>
      <c r="F14" s="4"/>
      <c r="G14" s="4"/>
      <c r="H14" s="4"/>
      <c r="I14" s="4"/>
      <c r="J14" s="4"/>
      <c r="K14" s="4"/>
    </row>
    <row r="15" spans="1:11" ht="68" customHeight="1" x14ac:dyDescent="0.2">
      <c r="A15" s="123" t="s">
        <v>38</v>
      </c>
      <c r="B15" s="119">
        <v>4</v>
      </c>
      <c r="C15" s="120">
        <v>5.3</v>
      </c>
      <c r="D15" s="123" t="s">
        <v>114</v>
      </c>
      <c r="E15" s="122" t="s">
        <v>115</v>
      </c>
      <c r="F15" s="4"/>
      <c r="G15" s="4"/>
      <c r="H15" s="4"/>
      <c r="I15" s="4"/>
      <c r="J15" s="4"/>
      <c r="K15" s="4"/>
    </row>
    <row r="16" spans="1:11" ht="17" customHeight="1" x14ac:dyDescent="0.2">
      <c r="A16" s="123" t="s">
        <v>41</v>
      </c>
      <c r="B16" s="119">
        <v>4</v>
      </c>
      <c r="C16" s="120">
        <v>2.16</v>
      </c>
      <c r="D16" s="123"/>
      <c r="E16" s="122" t="s">
        <v>116</v>
      </c>
      <c r="F16" s="4"/>
      <c r="G16" s="4"/>
      <c r="H16" s="4"/>
      <c r="I16" s="4"/>
      <c r="J16" s="4"/>
      <c r="K16" s="4"/>
    </row>
    <row r="17" spans="1:26" ht="17" customHeight="1" x14ac:dyDescent="0.15">
      <c r="A17" s="128" t="s">
        <v>44</v>
      </c>
      <c r="B17" s="128"/>
      <c r="C17" s="129"/>
      <c r="D17" s="128"/>
      <c r="E17" s="128"/>
      <c r="F17" s="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</row>
    <row r="18" spans="1:26" ht="17" customHeight="1" x14ac:dyDescent="0.2">
      <c r="A18" s="123" t="s">
        <v>45</v>
      </c>
      <c r="B18" s="119">
        <v>1</v>
      </c>
      <c r="C18" s="120">
        <v>249</v>
      </c>
      <c r="D18" s="130"/>
      <c r="E18" s="131" t="s">
        <v>117</v>
      </c>
      <c r="F18" s="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6" ht="17" customHeight="1" x14ac:dyDescent="0.2">
      <c r="A19" s="123" t="s">
        <v>49</v>
      </c>
      <c r="B19" s="119">
        <v>1</v>
      </c>
      <c r="C19" s="120">
        <v>100</v>
      </c>
      <c r="D19" s="132"/>
      <c r="E19" s="131" t="s">
        <v>118</v>
      </c>
      <c r="F19" s="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ht="17" customHeight="1" x14ac:dyDescent="0.15">
      <c r="A20" s="128" t="s">
        <v>119</v>
      </c>
      <c r="B20" s="128"/>
      <c r="C20" s="129"/>
      <c r="D20" s="128"/>
      <c r="E20" s="128"/>
      <c r="F20" s="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ht="56" customHeight="1" x14ac:dyDescent="0.2">
      <c r="A21" s="123" t="s">
        <v>52</v>
      </c>
      <c r="B21" s="119">
        <v>1</v>
      </c>
      <c r="C21" s="120">
        <v>1200</v>
      </c>
      <c r="D21" s="133" t="s">
        <v>120</v>
      </c>
      <c r="E21" s="134" t="s">
        <v>53</v>
      </c>
      <c r="F21" s="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17" customHeight="1" x14ac:dyDescent="0.15">
      <c r="A22" s="128" t="s">
        <v>60</v>
      </c>
      <c r="B22" s="128"/>
      <c r="C22" s="129"/>
      <c r="D22" s="128"/>
      <c r="E22" s="128"/>
      <c r="F22" s="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17" customHeight="1" x14ac:dyDescent="0.2">
      <c r="A23" s="123" t="s">
        <v>61</v>
      </c>
      <c r="B23" s="119">
        <v>1</v>
      </c>
      <c r="C23" s="120">
        <v>125</v>
      </c>
      <c r="D23" s="135"/>
      <c r="E23" s="131" t="s">
        <v>121</v>
      </c>
      <c r="F23" s="103"/>
      <c r="G23" s="103"/>
      <c r="H23" s="103"/>
      <c r="I23" s="103"/>
      <c r="J23" s="103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ht="17" customHeight="1" x14ac:dyDescent="0.2">
      <c r="A24" s="123" t="s">
        <v>63</v>
      </c>
      <c r="B24" s="119">
        <v>1</v>
      </c>
      <c r="C24" s="120">
        <v>249.75</v>
      </c>
      <c r="D24" s="135"/>
      <c r="E24" s="136" t="s">
        <v>64</v>
      </c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ht="68" customHeight="1" x14ac:dyDescent="0.2">
      <c r="A25" s="123" t="s">
        <v>65</v>
      </c>
      <c r="B25" s="119">
        <v>1</v>
      </c>
      <c r="C25" s="120">
        <v>29.99</v>
      </c>
      <c r="D25" s="137" t="s">
        <v>122</v>
      </c>
      <c r="E25" s="131" t="s">
        <v>123</v>
      </c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34" customHeight="1" x14ac:dyDescent="0.2">
      <c r="A26" s="123" t="s">
        <v>67</v>
      </c>
      <c r="B26" s="119">
        <v>1</v>
      </c>
      <c r="C26" s="120">
        <v>6.99</v>
      </c>
      <c r="D26" s="138"/>
      <c r="E26" s="139" t="s">
        <v>124</v>
      </c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ht="17" customHeight="1" x14ac:dyDescent="0.2">
      <c r="A27" s="123" t="s">
        <v>69</v>
      </c>
      <c r="B27" s="119">
        <v>1</v>
      </c>
      <c r="C27" s="120">
        <v>9.99</v>
      </c>
      <c r="D27" s="140" t="s">
        <v>70</v>
      </c>
      <c r="E27" s="141" t="s">
        <v>125</v>
      </c>
      <c r="F27" s="104"/>
      <c r="G27" s="104"/>
      <c r="H27" s="104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ht="17" customHeight="1" x14ac:dyDescent="0.2">
      <c r="A28" s="123" t="s">
        <v>72</v>
      </c>
      <c r="B28" s="119">
        <v>1</v>
      </c>
      <c r="C28" s="120">
        <v>8.99</v>
      </c>
      <c r="D28" s="140" t="s">
        <v>70</v>
      </c>
      <c r="E28" s="141" t="s">
        <v>126</v>
      </c>
      <c r="F28" s="104"/>
      <c r="G28" s="104"/>
      <c r="H28" s="104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ht="46" customHeight="1" x14ac:dyDescent="0.2">
      <c r="A29" s="123" t="s">
        <v>74</v>
      </c>
      <c r="B29" s="119">
        <v>1</v>
      </c>
      <c r="C29" s="120">
        <v>7.99</v>
      </c>
      <c r="D29" s="142"/>
      <c r="E29" s="143" t="s">
        <v>127</v>
      </c>
      <c r="F29" s="104"/>
      <c r="G29" s="104"/>
      <c r="H29" s="104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ht="17" customHeight="1" x14ac:dyDescent="0.2">
      <c r="A30" s="123" t="s">
        <v>128</v>
      </c>
      <c r="B30" s="119">
        <v>1</v>
      </c>
      <c r="C30" s="120">
        <v>334</v>
      </c>
      <c r="D30" s="135"/>
      <c r="E30" s="139" t="s">
        <v>129</v>
      </c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ht="17" customHeight="1" x14ac:dyDescent="0.2">
      <c r="A31" s="144" t="s">
        <v>80</v>
      </c>
      <c r="B31" s="144"/>
      <c r="C31" s="145"/>
      <c r="D31" s="144"/>
      <c r="E31" s="144"/>
      <c r="F31" s="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ht="17" customHeight="1" x14ac:dyDescent="0.2">
      <c r="A32" s="123" t="s">
        <v>81</v>
      </c>
      <c r="B32" s="119">
        <v>1</v>
      </c>
      <c r="C32" s="120">
        <v>8.99</v>
      </c>
      <c r="D32" s="123" t="s">
        <v>82</v>
      </c>
      <c r="E32" s="146" t="s">
        <v>130</v>
      </c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ht="17" customHeight="1" x14ac:dyDescent="0.2">
      <c r="A33" s="123" t="s">
        <v>84</v>
      </c>
      <c r="B33" s="119">
        <v>1</v>
      </c>
      <c r="C33" s="120">
        <v>3.38</v>
      </c>
      <c r="D33" s="137" t="s">
        <v>131</v>
      </c>
      <c r="E33" s="131" t="s">
        <v>85</v>
      </c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ht="68" customHeight="1" x14ac:dyDescent="0.2">
      <c r="A34" s="123" t="s">
        <v>86</v>
      </c>
      <c r="B34" s="119">
        <v>1</v>
      </c>
      <c r="C34" s="120">
        <v>6.99</v>
      </c>
      <c r="D34" s="130"/>
      <c r="E34" s="131" t="s">
        <v>132</v>
      </c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ht="17" customHeight="1" x14ac:dyDescent="0.2">
      <c r="A35" s="123" t="s">
        <v>88</v>
      </c>
      <c r="B35" s="119">
        <v>1</v>
      </c>
      <c r="C35" s="120">
        <v>7.99</v>
      </c>
      <c r="D35" s="123" t="s">
        <v>133</v>
      </c>
      <c r="E35" s="131" t="s">
        <v>134</v>
      </c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ht="17" customHeight="1" x14ac:dyDescent="0.2">
      <c r="A36" s="123" t="s">
        <v>90</v>
      </c>
      <c r="B36" s="119">
        <v>1</v>
      </c>
      <c r="C36" s="120">
        <v>7.99</v>
      </c>
      <c r="D36" s="130"/>
      <c r="E36" s="147" t="s">
        <v>135</v>
      </c>
      <c r="F36" s="100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ht="34" customHeight="1" x14ac:dyDescent="0.2">
      <c r="A37" s="148"/>
      <c r="B37" s="149" t="s">
        <v>99</v>
      </c>
      <c r="C37" s="150">
        <f>SUM(C4:C36)</f>
        <v>3022.2899999999981</v>
      </c>
      <c r="D37" s="123" t="s">
        <v>100</v>
      </c>
      <c r="E37" s="151"/>
      <c r="F37" s="4"/>
      <c r="G37" s="4"/>
      <c r="H37" s="4"/>
      <c r="I37" s="4"/>
      <c r="J37" s="4"/>
      <c r="K37" s="4"/>
    </row>
    <row r="38" spans="1:26" ht="16" customHeight="1" x14ac:dyDescent="0.2">
      <c r="A38" s="107"/>
      <c r="B38" s="98"/>
      <c r="C38" s="99"/>
      <c r="D38" s="4"/>
      <c r="E38" s="106"/>
      <c r="F38" s="4"/>
      <c r="G38" s="4"/>
      <c r="H38" s="4"/>
      <c r="I38" s="4"/>
      <c r="J38" s="4"/>
      <c r="K38" s="4"/>
    </row>
    <row r="39" spans="1:26" ht="17" customHeight="1" x14ac:dyDescent="0.2">
      <c r="A39" s="105" t="s">
        <v>136</v>
      </c>
      <c r="B39" s="190" t="s">
        <v>137</v>
      </c>
      <c r="C39" s="191"/>
      <c r="D39" s="192"/>
      <c r="E39" s="108"/>
      <c r="F39" s="4"/>
      <c r="G39" s="4"/>
      <c r="H39" s="4"/>
      <c r="I39" s="4"/>
      <c r="J39" s="4"/>
      <c r="K39" s="4"/>
    </row>
    <row r="40" spans="1:26" ht="16" customHeight="1" x14ac:dyDescent="0.2">
      <c r="A40" s="4"/>
      <c r="B40" s="192"/>
      <c r="C40" s="191"/>
      <c r="D40" s="192"/>
      <c r="E40" s="106"/>
      <c r="F40" s="4"/>
      <c r="G40" s="4"/>
      <c r="H40" s="4"/>
      <c r="I40" s="4"/>
      <c r="J40" s="4"/>
      <c r="K40" s="4"/>
    </row>
    <row r="41" spans="1:26" x14ac:dyDescent="0.15">
      <c r="B41" s="192"/>
      <c r="C41" s="191"/>
      <c r="D41" s="192"/>
    </row>
    <row r="65" spans="1:11" ht="16" customHeight="1" x14ac:dyDescent="0.2">
      <c r="A65" s="4"/>
      <c r="B65" s="98"/>
      <c r="C65" s="99"/>
      <c r="D65" s="4"/>
      <c r="E65" s="106"/>
      <c r="F65" s="4"/>
      <c r="G65" s="4"/>
      <c r="H65" s="4"/>
      <c r="I65" s="4"/>
      <c r="J65" s="4"/>
      <c r="K65" s="4"/>
    </row>
    <row r="66" spans="1:11" ht="16" customHeight="1" x14ac:dyDescent="0.2">
      <c r="A66" s="4"/>
      <c r="B66" s="98"/>
      <c r="C66" s="99"/>
      <c r="D66" s="4"/>
      <c r="E66" s="106"/>
      <c r="F66" s="4"/>
      <c r="G66" s="4"/>
      <c r="H66" s="4"/>
      <c r="I66" s="4"/>
      <c r="J66" s="4"/>
      <c r="K66" s="4"/>
    </row>
    <row r="67" spans="1:11" ht="16" customHeight="1" x14ac:dyDescent="0.2">
      <c r="A67" s="4"/>
      <c r="B67" s="98"/>
      <c r="C67" s="99"/>
      <c r="D67" s="4"/>
      <c r="E67" s="106"/>
      <c r="F67" s="4"/>
      <c r="G67" s="4"/>
      <c r="H67" s="4"/>
      <c r="I67" s="4"/>
      <c r="J67" s="4"/>
      <c r="K67" s="4"/>
    </row>
    <row r="68" spans="1:11" ht="16" customHeight="1" x14ac:dyDescent="0.2">
      <c r="A68" s="4"/>
      <c r="B68" s="98"/>
      <c r="C68" s="99"/>
      <c r="D68" s="4"/>
      <c r="E68" s="106"/>
      <c r="F68" s="4"/>
      <c r="G68" s="4"/>
      <c r="H68" s="4"/>
      <c r="I68" s="4"/>
      <c r="J68" s="4"/>
      <c r="K68" s="4"/>
    </row>
    <row r="69" spans="1:11" ht="16" customHeight="1" x14ac:dyDescent="0.2">
      <c r="A69" s="4"/>
      <c r="B69" s="98"/>
      <c r="C69" s="99"/>
      <c r="D69" s="4"/>
      <c r="E69" s="106"/>
      <c r="F69" s="4"/>
      <c r="G69" s="4"/>
      <c r="H69" s="4"/>
      <c r="I69" s="4"/>
      <c r="J69" s="4"/>
      <c r="K69" s="4"/>
    </row>
    <row r="70" spans="1:11" ht="16" customHeight="1" x14ac:dyDescent="0.2">
      <c r="A70" s="4"/>
      <c r="B70" s="98"/>
      <c r="C70" s="99"/>
      <c r="D70" s="4"/>
      <c r="E70" s="106"/>
      <c r="F70" s="4"/>
      <c r="G70" s="4"/>
      <c r="H70" s="4"/>
      <c r="I70" s="4"/>
      <c r="J70" s="4"/>
      <c r="K70" s="4"/>
    </row>
    <row r="71" spans="1:11" ht="16" customHeight="1" x14ac:dyDescent="0.2">
      <c r="A71" s="4"/>
      <c r="B71" s="98"/>
      <c r="C71" s="99"/>
      <c r="D71" s="4"/>
      <c r="E71" s="106"/>
      <c r="F71" s="4"/>
      <c r="G71" s="4"/>
      <c r="H71" s="4"/>
      <c r="I71" s="4"/>
      <c r="J71" s="4"/>
      <c r="K71" s="4"/>
    </row>
    <row r="72" spans="1:11" ht="16" customHeight="1" x14ac:dyDescent="0.2">
      <c r="A72" s="4"/>
      <c r="B72" s="98"/>
      <c r="C72" s="99"/>
      <c r="D72" s="4"/>
      <c r="E72" s="106"/>
      <c r="F72" s="4"/>
      <c r="G72" s="4"/>
      <c r="H72" s="4"/>
      <c r="I72" s="4"/>
      <c r="J72" s="4"/>
      <c r="K72" s="4"/>
    </row>
    <row r="73" spans="1:11" ht="16" customHeight="1" x14ac:dyDescent="0.2">
      <c r="A73" s="4"/>
      <c r="B73" s="98"/>
      <c r="C73" s="99"/>
      <c r="D73" s="4"/>
      <c r="E73" s="106"/>
      <c r="F73" s="4"/>
      <c r="G73" s="4"/>
      <c r="H73" s="4"/>
      <c r="I73" s="4"/>
      <c r="J73" s="4"/>
      <c r="K73" s="4"/>
    </row>
    <row r="74" spans="1:11" ht="16" customHeight="1" x14ac:dyDescent="0.2">
      <c r="A74" s="4"/>
      <c r="B74" s="98"/>
      <c r="C74" s="99"/>
      <c r="D74" s="4"/>
      <c r="E74" s="106"/>
      <c r="F74" s="4"/>
      <c r="G74" s="4"/>
      <c r="H74" s="4"/>
      <c r="I74" s="4"/>
      <c r="J74" s="4"/>
      <c r="K74" s="4"/>
    </row>
    <row r="75" spans="1:11" ht="16" customHeight="1" x14ac:dyDescent="0.2">
      <c r="A75" s="4"/>
      <c r="B75" s="98"/>
      <c r="C75" s="99"/>
      <c r="D75" s="4"/>
      <c r="E75" s="106"/>
      <c r="F75" s="4"/>
      <c r="G75" s="4"/>
      <c r="H75" s="4"/>
      <c r="I75" s="4"/>
      <c r="J75" s="4"/>
      <c r="K75" s="4"/>
    </row>
    <row r="76" spans="1:11" ht="16" customHeight="1" x14ac:dyDescent="0.2">
      <c r="A76" s="4"/>
      <c r="B76" s="98"/>
      <c r="C76" s="99"/>
      <c r="D76" s="4"/>
      <c r="E76" s="106"/>
      <c r="F76" s="4"/>
      <c r="G76" s="4"/>
      <c r="H76" s="4"/>
      <c r="I76" s="4"/>
      <c r="J76" s="4"/>
      <c r="K76" s="4"/>
    </row>
    <row r="77" spans="1:11" ht="16" customHeight="1" x14ac:dyDescent="0.2">
      <c r="A77" s="4"/>
      <c r="B77" s="98"/>
      <c r="C77" s="99"/>
      <c r="D77" s="4"/>
      <c r="E77" s="106"/>
      <c r="F77" s="4"/>
      <c r="G77" s="4"/>
      <c r="H77" s="4"/>
      <c r="I77" s="4"/>
      <c r="J77" s="4"/>
      <c r="K77" s="4"/>
    </row>
    <row r="78" spans="1:11" ht="16" customHeight="1" x14ac:dyDescent="0.2">
      <c r="A78" s="4"/>
      <c r="B78" s="98"/>
      <c r="C78" s="99"/>
      <c r="D78" s="4"/>
      <c r="E78" s="106"/>
      <c r="F78" s="4"/>
      <c r="G78" s="4"/>
      <c r="H78" s="4"/>
      <c r="I78" s="4"/>
      <c r="J78" s="4"/>
      <c r="K78" s="4"/>
    </row>
    <row r="79" spans="1:11" ht="16" customHeight="1" x14ac:dyDescent="0.2">
      <c r="A79" s="4"/>
      <c r="B79" s="98"/>
      <c r="C79" s="99"/>
      <c r="D79" s="4"/>
      <c r="E79" s="106"/>
      <c r="F79" s="4"/>
      <c r="G79" s="4"/>
      <c r="H79" s="4"/>
      <c r="I79" s="4"/>
      <c r="J79" s="4"/>
      <c r="K79" s="4"/>
    </row>
    <row r="80" spans="1:11" ht="16" customHeight="1" x14ac:dyDescent="0.2">
      <c r="A80" s="4"/>
      <c r="B80" s="98"/>
      <c r="C80" s="99"/>
      <c r="D80" s="4"/>
      <c r="E80" s="106"/>
      <c r="F80" s="4"/>
      <c r="G80" s="4"/>
      <c r="H80" s="4"/>
      <c r="I80" s="4"/>
      <c r="J80" s="4"/>
      <c r="K80" s="4"/>
    </row>
    <row r="81" spans="1:11" ht="16" customHeight="1" x14ac:dyDescent="0.2">
      <c r="A81" s="4"/>
      <c r="B81" s="98"/>
      <c r="C81" s="99"/>
      <c r="D81" s="4"/>
      <c r="E81" s="106"/>
      <c r="F81" s="4"/>
      <c r="G81" s="4"/>
      <c r="H81" s="4"/>
      <c r="I81" s="4"/>
      <c r="J81" s="4"/>
      <c r="K81" s="4"/>
    </row>
    <row r="82" spans="1:11" ht="16" customHeight="1" x14ac:dyDescent="0.2">
      <c r="A82" s="4"/>
      <c r="B82" s="98"/>
      <c r="C82" s="99"/>
      <c r="D82" s="4"/>
      <c r="E82" s="106"/>
      <c r="F82" s="4"/>
      <c r="G82" s="4"/>
      <c r="H82" s="4"/>
      <c r="I82" s="4"/>
      <c r="J82" s="4"/>
      <c r="K82" s="4"/>
    </row>
    <row r="83" spans="1:11" ht="16" customHeight="1" x14ac:dyDescent="0.2">
      <c r="A83" s="4"/>
      <c r="B83" s="98"/>
      <c r="C83" s="99"/>
      <c r="D83" s="4"/>
      <c r="E83" s="106"/>
      <c r="F83" s="4"/>
      <c r="G83" s="4"/>
      <c r="H83" s="4"/>
      <c r="I83" s="4"/>
      <c r="J83" s="4"/>
      <c r="K83" s="4"/>
    </row>
    <row r="84" spans="1:11" ht="16" customHeight="1" x14ac:dyDescent="0.2">
      <c r="A84" s="4"/>
      <c r="B84" s="98"/>
      <c r="C84" s="99"/>
      <c r="D84" s="4"/>
      <c r="E84" s="110"/>
      <c r="F84" s="4"/>
      <c r="G84" s="4"/>
      <c r="H84" s="4"/>
      <c r="I84" s="4"/>
      <c r="J84" s="4"/>
      <c r="K84" s="4"/>
    </row>
    <row r="85" spans="1:11" ht="16" customHeight="1" x14ac:dyDescent="0.2">
      <c r="A85" s="4"/>
      <c r="B85" s="98"/>
      <c r="C85" s="99"/>
      <c r="D85" s="4"/>
      <c r="E85" s="110"/>
      <c r="F85" s="4"/>
      <c r="G85" s="4"/>
      <c r="H85" s="4"/>
      <c r="I85" s="4"/>
      <c r="J85" s="4"/>
      <c r="K85" s="4"/>
    </row>
    <row r="86" spans="1:11" ht="16" customHeight="1" x14ac:dyDescent="0.2">
      <c r="A86" s="4"/>
      <c r="B86" s="98"/>
      <c r="C86" s="99"/>
      <c r="D86" s="4"/>
      <c r="E86" s="110"/>
      <c r="F86" s="4"/>
      <c r="G86" s="4"/>
      <c r="H86" s="4"/>
      <c r="I86" s="4"/>
      <c r="J86" s="4"/>
      <c r="K86" s="4"/>
    </row>
    <row r="87" spans="1:11" ht="16" customHeight="1" x14ac:dyDescent="0.2">
      <c r="A87" s="4"/>
      <c r="B87" s="98"/>
      <c r="C87" s="99"/>
      <c r="D87" s="4"/>
      <c r="E87" s="110"/>
      <c r="F87" s="4"/>
      <c r="G87" s="4"/>
      <c r="H87" s="4"/>
      <c r="I87" s="4"/>
      <c r="J87" s="4"/>
      <c r="K87" s="4"/>
    </row>
    <row r="88" spans="1:11" ht="16" customHeight="1" x14ac:dyDescent="0.2">
      <c r="A88" s="4"/>
      <c r="B88" s="98"/>
      <c r="C88" s="99"/>
      <c r="D88" s="4"/>
      <c r="E88" s="110"/>
      <c r="F88" s="4"/>
      <c r="G88" s="4"/>
      <c r="H88" s="4"/>
      <c r="I88" s="4"/>
      <c r="J88" s="4"/>
      <c r="K88" s="4"/>
    </row>
    <row r="89" spans="1:11" ht="16" customHeight="1" x14ac:dyDescent="0.2">
      <c r="A89" s="4"/>
      <c r="B89" s="98"/>
      <c r="C89" s="99"/>
      <c r="D89" s="4"/>
      <c r="E89" s="110"/>
      <c r="F89" s="4"/>
      <c r="G89" s="4"/>
      <c r="H89" s="4"/>
      <c r="I89" s="4"/>
      <c r="J89" s="4"/>
      <c r="K89" s="4"/>
    </row>
    <row r="90" spans="1:11" ht="16" customHeight="1" x14ac:dyDescent="0.2">
      <c r="A90" s="4"/>
      <c r="B90" s="98"/>
      <c r="C90" s="99"/>
      <c r="D90" s="4"/>
      <c r="E90" s="110"/>
      <c r="F90" s="4"/>
      <c r="G90" s="4"/>
      <c r="H90" s="4"/>
      <c r="I90" s="4"/>
      <c r="J90" s="4"/>
      <c r="K90" s="4"/>
    </row>
    <row r="91" spans="1:11" ht="16" customHeight="1" x14ac:dyDescent="0.2">
      <c r="A91" s="4"/>
      <c r="B91" s="98"/>
      <c r="C91" s="99"/>
      <c r="D91" s="4"/>
      <c r="E91" s="110"/>
      <c r="F91" s="4"/>
      <c r="G91" s="4"/>
      <c r="H91" s="4"/>
      <c r="I91" s="4"/>
      <c r="J91" s="4"/>
      <c r="K91" s="4"/>
    </row>
    <row r="92" spans="1:11" ht="16" customHeight="1" x14ac:dyDescent="0.2">
      <c r="A92" s="4"/>
      <c r="B92" s="98"/>
      <c r="C92" s="99"/>
      <c r="D92" s="4"/>
      <c r="E92" s="110"/>
      <c r="F92" s="4"/>
      <c r="G92" s="4"/>
      <c r="H92" s="4"/>
      <c r="I92" s="4"/>
      <c r="J92" s="4"/>
      <c r="K92" s="4"/>
    </row>
    <row r="93" spans="1:11" ht="16" customHeight="1" x14ac:dyDescent="0.2">
      <c r="A93" s="4"/>
      <c r="B93" s="98"/>
      <c r="C93" s="99"/>
      <c r="D93" s="4"/>
      <c r="E93" s="110"/>
      <c r="F93" s="4"/>
      <c r="G93" s="4"/>
      <c r="H93" s="4"/>
      <c r="I93" s="4"/>
      <c r="J93" s="4"/>
      <c r="K93" s="4"/>
    </row>
    <row r="94" spans="1:11" ht="16" customHeight="1" x14ac:dyDescent="0.2">
      <c r="A94" s="4"/>
      <c r="B94" s="98"/>
      <c r="C94" s="99"/>
      <c r="D94" s="4"/>
      <c r="E94" s="110"/>
      <c r="F94" s="4"/>
      <c r="G94" s="4"/>
      <c r="H94" s="4"/>
      <c r="I94" s="4"/>
      <c r="J94" s="4"/>
      <c r="K94" s="4"/>
    </row>
    <row r="95" spans="1:11" ht="16" customHeight="1" x14ac:dyDescent="0.2">
      <c r="A95" s="4"/>
      <c r="B95" s="98"/>
      <c r="C95" s="99"/>
      <c r="D95" s="4"/>
      <c r="E95" s="110"/>
      <c r="F95" s="4"/>
      <c r="G95" s="4"/>
      <c r="H95" s="4"/>
      <c r="I95" s="4"/>
      <c r="J95" s="4"/>
      <c r="K95" s="4"/>
    </row>
    <row r="96" spans="1:11" ht="16" customHeight="1" x14ac:dyDescent="0.2">
      <c r="A96" s="4"/>
      <c r="B96" s="98"/>
      <c r="C96" s="99"/>
      <c r="D96" s="4"/>
      <c r="E96" s="110"/>
      <c r="F96" s="4"/>
      <c r="G96" s="4"/>
      <c r="H96" s="4"/>
      <c r="I96" s="4"/>
      <c r="J96" s="4"/>
      <c r="K96" s="4"/>
    </row>
    <row r="97" spans="1:11" ht="16" customHeight="1" x14ac:dyDescent="0.2">
      <c r="A97" s="4"/>
      <c r="B97" s="98"/>
      <c r="C97" s="99"/>
      <c r="D97" s="4"/>
      <c r="E97" s="110"/>
      <c r="F97" s="4"/>
      <c r="G97" s="4"/>
      <c r="H97" s="4"/>
      <c r="I97" s="4"/>
      <c r="J97" s="4"/>
      <c r="K97" s="4"/>
    </row>
    <row r="98" spans="1:11" ht="16" customHeight="1" x14ac:dyDescent="0.2">
      <c r="A98" s="4"/>
      <c r="B98" s="98"/>
      <c r="C98" s="99"/>
      <c r="D98" s="4"/>
      <c r="E98" s="110"/>
      <c r="F98" s="4"/>
      <c r="G98" s="4"/>
      <c r="H98" s="4"/>
      <c r="I98" s="4"/>
      <c r="J98" s="4"/>
      <c r="K98" s="4"/>
    </row>
    <row r="99" spans="1:11" ht="16" customHeight="1" x14ac:dyDescent="0.2">
      <c r="A99" s="4"/>
      <c r="B99" s="98"/>
      <c r="C99" s="99"/>
      <c r="D99" s="4"/>
      <c r="E99" s="110"/>
      <c r="F99" s="4"/>
      <c r="G99" s="4"/>
      <c r="H99" s="4"/>
      <c r="I99" s="4"/>
      <c r="J99" s="4"/>
      <c r="K99" s="4"/>
    </row>
    <row r="100" spans="1:11" ht="16" customHeight="1" x14ac:dyDescent="0.2">
      <c r="A100" s="4"/>
      <c r="B100" s="98"/>
      <c r="C100" s="99"/>
      <c r="D100" s="4"/>
      <c r="E100" s="110"/>
      <c r="F100" s="4"/>
      <c r="G100" s="4"/>
      <c r="H100" s="4"/>
      <c r="I100" s="4"/>
      <c r="J100" s="4"/>
      <c r="K100" s="4"/>
    </row>
    <row r="101" spans="1:11" ht="16" customHeight="1" x14ac:dyDescent="0.2">
      <c r="A101" s="4"/>
      <c r="B101" s="98"/>
      <c r="C101" s="99"/>
      <c r="D101" s="4"/>
      <c r="E101" s="110"/>
      <c r="F101" s="4"/>
      <c r="G101" s="4"/>
      <c r="H101" s="4"/>
      <c r="I101" s="4"/>
      <c r="J101" s="4"/>
      <c r="K101" s="4"/>
    </row>
    <row r="102" spans="1:11" ht="16" customHeight="1" x14ac:dyDescent="0.2">
      <c r="A102" s="4"/>
      <c r="B102" s="98"/>
      <c r="C102" s="99"/>
      <c r="D102" s="4"/>
      <c r="E102" s="110"/>
      <c r="F102" s="4"/>
      <c r="G102" s="4"/>
      <c r="H102" s="4"/>
      <c r="I102" s="4"/>
      <c r="J102" s="4"/>
      <c r="K102" s="4"/>
    </row>
    <row r="103" spans="1:11" ht="16" customHeight="1" x14ac:dyDescent="0.2">
      <c r="A103" s="4"/>
      <c r="B103" s="98"/>
      <c r="C103" s="99"/>
      <c r="D103" s="4"/>
      <c r="E103" s="110"/>
      <c r="F103" s="4"/>
      <c r="G103" s="4"/>
      <c r="H103" s="4"/>
      <c r="I103" s="4"/>
      <c r="J103" s="4"/>
      <c r="K103" s="4"/>
    </row>
    <row r="104" spans="1:11" ht="16" customHeight="1" x14ac:dyDescent="0.2">
      <c r="A104" s="4"/>
      <c r="B104" s="98"/>
      <c r="C104" s="99"/>
      <c r="D104" s="4"/>
      <c r="E104" s="110"/>
      <c r="F104" s="4"/>
      <c r="G104" s="4"/>
      <c r="H104" s="4"/>
      <c r="I104" s="4"/>
      <c r="J104" s="4"/>
      <c r="K104" s="4"/>
    </row>
    <row r="105" spans="1:11" ht="16" customHeight="1" x14ac:dyDescent="0.2">
      <c r="A105" s="4"/>
      <c r="B105" s="98"/>
      <c r="C105" s="99"/>
      <c r="D105" s="4"/>
      <c r="E105" s="110"/>
      <c r="F105" s="4"/>
      <c r="G105" s="4"/>
      <c r="H105" s="4"/>
      <c r="I105" s="4"/>
      <c r="J105" s="4"/>
      <c r="K105" s="4"/>
    </row>
    <row r="106" spans="1:11" ht="16" customHeight="1" x14ac:dyDescent="0.2">
      <c r="A106" s="4"/>
      <c r="B106" s="98"/>
      <c r="C106" s="99"/>
      <c r="D106" s="4"/>
      <c r="E106" s="110"/>
      <c r="F106" s="4"/>
      <c r="G106" s="4"/>
      <c r="H106" s="4"/>
      <c r="I106" s="4"/>
      <c r="J106" s="4"/>
      <c r="K106" s="4"/>
    </row>
    <row r="107" spans="1:11" ht="16" customHeight="1" x14ac:dyDescent="0.2">
      <c r="A107" s="4"/>
      <c r="B107" s="98"/>
      <c r="C107" s="99"/>
      <c r="D107" s="4"/>
      <c r="E107" s="110"/>
      <c r="F107" s="4"/>
      <c r="G107" s="4"/>
      <c r="H107" s="4"/>
      <c r="I107" s="4"/>
      <c r="J107" s="4"/>
      <c r="K107" s="4"/>
    </row>
    <row r="108" spans="1:11" ht="16" customHeight="1" x14ac:dyDescent="0.2">
      <c r="A108" s="4"/>
      <c r="B108" s="98"/>
      <c r="C108" s="99"/>
      <c r="D108" s="4"/>
      <c r="E108" s="110"/>
      <c r="F108" s="4"/>
      <c r="G108" s="4"/>
      <c r="H108" s="4"/>
      <c r="I108" s="4"/>
      <c r="J108" s="4"/>
      <c r="K108" s="4"/>
    </row>
    <row r="109" spans="1:11" ht="16" customHeight="1" x14ac:dyDescent="0.2">
      <c r="A109" s="4"/>
      <c r="B109" s="98"/>
      <c r="C109" s="99"/>
      <c r="D109" s="4"/>
      <c r="E109" s="110"/>
      <c r="F109" s="4"/>
      <c r="G109" s="4"/>
      <c r="H109" s="4"/>
      <c r="I109" s="4"/>
      <c r="J109" s="4"/>
      <c r="K109" s="4"/>
    </row>
    <row r="110" spans="1:11" ht="16" customHeight="1" x14ac:dyDescent="0.2">
      <c r="A110" s="4"/>
      <c r="B110" s="98"/>
      <c r="C110" s="99"/>
      <c r="D110" s="4"/>
      <c r="E110" s="110"/>
      <c r="F110" s="4"/>
      <c r="G110" s="4"/>
      <c r="H110" s="4"/>
      <c r="I110" s="4"/>
      <c r="J110" s="4"/>
      <c r="K110" s="4"/>
    </row>
    <row r="111" spans="1:11" ht="16" customHeight="1" x14ac:dyDescent="0.2">
      <c r="A111" s="4"/>
      <c r="B111" s="98"/>
      <c r="C111" s="99"/>
      <c r="D111" s="4"/>
      <c r="E111" s="110"/>
      <c r="F111" s="4"/>
      <c r="G111" s="4"/>
      <c r="H111" s="4"/>
      <c r="I111" s="4"/>
      <c r="J111" s="4"/>
      <c r="K111" s="4"/>
    </row>
    <row r="112" spans="1:11" ht="16" customHeight="1" x14ac:dyDescent="0.2">
      <c r="A112" s="4"/>
      <c r="B112" s="98"/>
      <c r="C112" s="99"/>
      <c r="D112" s="4"/>
      <c r="E112" s="110"/>
      <c r="F112" s="4"/>
      <c r="G112" s="4"/>
      <c r="H112" s="4"/>
      <c r="I112" s="4"/>
      <c r="J112" s="4"/>
      <c r="K112" s="4"/>
    </row>
    <row r="113" spans="1:11" ht="16" customHeight="1" x14ac:dyDescent="0.2">
      <c r="A113" s="4"/>
      <c r="B113" s="98"/>
      <c r="C113" s="99"/>
      <c r="D113" s="4"/>
      <c r="E113" s="110"/>
      <c r="F113" s="4"/>
      <c r="G113" s="4"/>
      <c r="H113" s="4"/>
      <c r="I113" s="4"/>
      <c r="J113" s="4"/>
      <c r="K113" s="4"/>
    </row>
    <row r="114" spans="1:11" ht="16" customHeight="1" x14ac:dyDescent="0.2">
      <c r="A114" s="4"/>
      <c r="B114" s="98"/>
      <c r="C114" s="99"/>
      <c r="D114" s="4"/>
      <c r="E114" s="110"/>
      <c r="F114" s="4"/>
      <c r="G114" s="4"/>
      <c r="H114" s="4"/>
      <c r="I114" s="4"/>
      <c r="J114" s="4"/>
      <c r="K114" s="4"/>
    </row>
    <row r="115" spans="1:11" ht="16" customHeight="1" x14ac:dyDescent="0.2">
      <c r="A115" s="4"/>
      <c r="B115" s="98"/>
      <c r="C115" s="99"/>
      <c r="D115" s="4"/>
      <c r="E115" s="110"/>
      <c r="F115" s="4"/>
      <c r="G115" s="4"/>
      <c r="H115" s="4"/>
      <c r="I115" s="4"/>
      <c r="J115" s="4"/>
      <c r="K115" s="4"/>
    </row>
    <row r="116" spans="1:11" ht="16" customHeight="1" x14ac:dyDescent="0.2">
      <c r="A116" s="4"/>
      <c r="B116" s="98"/>
      <c r="C116" s="99"/>
      <c r="D116" s="4"/>
      <c r="E116" s="110"/>
      <c r="F116" s="4"/>
      <c r="G116" s="4"/>
      <c r="H116" s="4"/>
      <c r="I116" s="4"/>
      <c r="J116" s="4"/>
      <c r="K116" s="4"/>
    </row>
    <row r="117" spans="1:11" ht="16" customHeight="1" x14ac:dyDescent="0.2">
      <c r="A117" s="4"/>
      <c r="B117" s="98"/>
      <c r="C117" s="99"/>
      <c r="D117" s="4"/>
      <c r="E117" s="110"/>
      <c r="F117" s="4"/>
      <c r="G117" s="4"/>
      <c r="H117" s="4"/>
      <c r="I117" s="4"/>
      <c r="J117" s="4"/>
      <c r="K117" s="4"/>
    </row>
    <row r="118" spans="1:11" ht="16" customHeight="1" x14ac:dyDescent="0.2">
      <c r="A118" s="4"/>
      <c r="B118" s="98"/>
      <c r="C118" s="99"/>
      <c r="D118" s="4"/>
      <c r="E118" s="110"/>
      <c r="F118" s="4"/>
      <c r="G118" s="4"/>
      <c r="H118" s="4"/>
      <c r="I118" s="4"/>
      <c r="J118" s="4"/>
      <c r="K118" s="4"/>
    </row>
    <row r="119" spans="1:11" ht="16" customHeight="1" x14ac:dyDescent="0.2">
      <c r="A119" s="4"/>
      <c r="B119" s="98"/>
      <c r="C119" s="99"/>
      <c r="D119" s="4"/>
      <c r="E119" s="110"/>
      <c r="F119" s="4"/>
      <c r="G119" s="4"/>
      <c r="H119" s="4"/>
      <c r="I119" s="4"/>
      <c r="J119" s="4"/>
      <c r="K119" s="4"/>
    </row>
    <row r="120" spans="1:11" ht="16" customHeight="1" x14ac:dyDescent="0.2">
      <c r="A120" s="4"/>
      <c r="B120" s="98"/>
      <c r="C120" s="99"/>
      <c r="D120" s="4"/>
      <c r="E120" s="110"/>
      <c r="F120" s="4"/>
      <c r="G120" s="4"/>
      <c r="H120" s="4"/>
      <c r="I120" s="4"/>
      <c r="J120" s="4"/>
      <c r="K120" s="4"/>
    </row>
    <row r="121" spans="1:11" ht="16" customHeight="1" x14ac:dyDescent="0.2">
      <c r="A121" s="4"/>
      <c r="B121" s="98"/>
      <c r="C121" s="99"/>
      <c r="D121" s="4"/>
      <c r="E121" s="110"/>
      <c r="F121" s="4"/>
      <c r="G121" s="4"/>
      <c r="H121" s="4"/>
      <c r="I121" s="4"/>
      <c r="J121" s="4"/>
      <c r="K121" s="4"/>
    </row>
    <row r="122" spans="1:11" ht="16" customHeight="1" x14ac:dyDescent="0.2">
      <c r="A122" s="4"/>
      <c r="B122" s="98"/>
      <c r="C122" s="99"/>
      <c r="D122" s="4"/>
      <c r="E122" s="110"/>
      <c r="F122" s="4"/>
      <c r="G122" s="4"/>
      <c r="H122" s="4"/>
      <c r="I122" s="4"/>
      <c r="J122" s="4"/>
      <c r="K122" s="4"/>
    </row>
    <row r="123" spans="1:11" ht="16" customHeight="1" x14ac:dyDescent="0.2">
      <c r="A123" s="4"/>
      <c r="B123" s="98"/>
      <c r="C123" s="99"/>
      <c r="D123" s="4"/>
      <c r="E123" s="110"/>
      <c r="F123" s="4"/>
      <c r="G123" s="4"/>
      <c r="H123" s="4"/>
      <c r="I123" s="4"/>
      <c r="J123" s="4"/>
      <c r="K123" s="4"/>
    </row>
    <row r="124" spans="1:11" ht="16" customHeight="1" x14ac:dyDescent="0.2">
      <c r="A124" s="4"/>
      <c r="B124" s="98"/>
      <c r="C124" s="99"/>
      <c r="D124" s="4"/>
      <c r="E124" s="110"/>
      <c r="F124" s="4"/>
      <c r="G124" s="4"/>
      <c r="H124" s="4"/>
      <c r="I124" s="4"/>
      <c r="J124" s="4"/>
      <c r="K124" s="4"/>
    </row>
    <row r="125" spans="1:11" ht="16" customHeight="1" x14ac:dyDescent="0.2">
      <c r="A125" s="4"/>
      <c r="B125" s="98"/>
      <c r="C125" s="99"/>
      <c r="D125" s="4"/>
      <c r="E125" s="110"/>
      <c r="F125" s="4"/>
      <c r="G125" s="4"/>
      <c r="H125" s="4"/>
      <c r="I125" s="4"/>
      <c r="J125" s="4"/>
      <c r="K125" s="4"/>
    </row>
    <row r="126" spans="1:11" ht="16" customHeight="1" x14ac:dyDescent="0.2">
      <c r="A126" s="4"/>
      <c r="B126" s="98"/>
      <c r="C126" s="99"/>
      <c r="D126" s="4"/>
      <c r="E126" s="110"/>
      <c r="F126" s="4"/>
      <c r="G126" s="4"/>
      <c r="H126" s="4"/>
      <c r="I126" s="4"/>
      <c r="J126" s="4"/>
      <c r="K126" s="4"/>
    </row>
    <row r="127" spans="1:11" ht="16" customHeight="1" x14ac:dyDescent="0.2">
      <c r="A127" s="4"/>
      <c r="B127" s="98"/>
      <c r="C127" s="99"/>
      <c r="D127" s="4"/>
      <c r="E127" s="110"/>
      <c r="F127" s="4"/>
      <c r="G127" s="4"/>
      <c r="H127" s="4"/>
      <c r="I127" s="4"/>
      <c r="J127" s="4"/>
      <c r="K127" s="4"/>
    </row>
    <row r="128" spans="1:11" ht="16" customHeight="1" x14ac:dyDescent="0.2">
      <c r="A128" s="4"/>
      <c r="B128" s="98"/>
      <c r="C128" s="99"/>
      <c r="D128" s="4"/>
      <c r="E128" s="110"/>
      <c r="F128" s="4"/>
      <c r="G128" s="4"/>
      <c r="H128" s="4"/>
      <c r="I128" s="4"/>
      <c r="J128" s="4"/>
      <c r="K128" s="4"/>
    </row>
    <row r="129" spans="1:11" ht="16" customHeight="1" x14ac:dyDescent="0.2">
      <c r="A129" s="4"/>
      <c r="B129" s="98"/>
      <c r="C129" s="99"/>
      <c r="D129" s="4"/>
      <c r="E129" s="110"/>
      <c r="F129" s="4"/>
      <c r="G129" s="4"/>
      <c r="H129" s="4"/>
      <c r="I129" s="4"/>
      <c r="J129" s="4"/>
      <c r="K129" s="4"/>
    </row>
    <row r="130" spans="1:11" ht="16" customHeight="1" x14ac:dyDescent="0.2">
      <c r="A130" s="4"/>
      <c r="B130" s="98"/>
      <c r="C130" s="99"/>
      <c r="D130" s="4"/>
      <c r="E130" s="110"/>
      <c r="F130" s="4"/>
      <c r="G130" s="4"/>
      <c r="H130" s="4"/>
      <c r="I130" s="4"/>
      <c r="J130" s="4"/>
      <c r="K130" s="4"/>
    </row>
    <row r="131" spans="1:11" ht="16" customHeight="1" x14ac:dyDescent="0.2">
      <c r="A131" s="4"/>
      <c r="B131" s="98"/>
      <c r="C131" s="99"/>
      <c r="D131" s="4"/>
      <c r="E131" s="110"/>
      <c r="F131" s="4"/>
      <c r="G131" s="4"/>
      <c r="H131" s="4"/>
      <c r="I131" s="4"/>
      <c r="J131" s="4"/>
      <c r="K131" s="4"/>
    </row>
    <row r="132" spans="1:11" ht="16" customHeight="1" x14ac:dyDescent="0.2">
      <c r="A132" s="4"/>
      <c r="B132" s="98"/>
      <c r="C132" s="99"/>
      <c r="D132" s="4"/>
      <c r="E132" s="110"/>
      <c r="F132" s="4"/>
      <c r="G132" s="4"/>
      <c r="H132" s="4"/>
      <c r="I132" s="4"/>
      <c r="J132" s="4"/>
      <c r="K132" s="4"/>
    </row>
    <row r="133" spans="1:11" ht="16" customHeight="1" x14ac:dyDescent="0.2">
      <c r="A133" s="4"/>
      <c r="B133" s="98"/>
      <c r="C133" s="99"/>
      <c r="D133" s="4"/>
      <c r="E133" s="110"/>
      <c r="F133" s="4"/>
      <c r="G133" s="4"/>
      <c r="H133" s="4"/>
      <c r="I133" s="4"/>
      <c r="J133" s="4"/>
      <c r="K133" s="4"/>
    </row>
    <row r="134" spans="1:11" ht="16" customHeight="1" x14ac:dyDescent="0.2">
      <c r="A134" s="4"/>
      <c r="B134" s="98"/>
      <c r="C134" s="99"/>
      <c r="D134" s="4"/>
      <c r="E134" s="110"/>
      <c r="F134" s="4"/>
      <c r="G134" s="4"/>
      <c r="H134" s="4"/>
      <c r="I134" s="4"/>
      <c r="J134" s="4"/>
      <c r="K134" s="4"/>
    </row>
    <row r="135" spans="1:11" ht="16" customHeight="1" x14ac:dyDescent="0.2">
      <c r="A135" s="4"/>
      <c r="B135" s="98"/>
      <c r="C135" s="99"/>
      <c r="D135" s="4"/>
      <c r="E135" s="110"/>
      <c r="F135" s="4"/>
      <c r="G135" s="4"/>
      <c r="H135" s="4"/>
      <c r="I135" s="4"/>
      <c r="J135" s="4"/>
      <c r="K135" s="4"/>
    </row>
    <row r="136" spans="1:11" ht="16" customHeight="1" x14ac:dyDescent="0.2">
      <c r="A136" s="4"/>
      <c r="B136" s="98"/>
      <c r="C136" s="99"/>
      <c r="D136" s="4"/>
      <c r="E136" s="110"/>
      <c r="F136" s="4"/>
      <c r="G136" s="4"/>
      <c r="H136" s="4"/>
      <c r="I136" s="4"/>
      <c r="J136" s="4"/>
      <c r="K136" s="4"/>
    </row>
    <row r="137" spans="1:11" ht="16" customHeight="1" x14ac:dyDescent="0.2">
      <c r="A137" s="4"/>
      <c r="B137" s="98"/>
      <c r="C137" s="99"/>
      <c r="D137" s="4"/>
      <c r="E137" s="110"/>
      <c r="F137" s="4"/>
      <c r="G137" s="4"/>
      <c r="H137" s="4"/>
      <c r="I137" s="4"/>
      <c r="J137" s="4"/>
      <c r="K137" s="4"/>
    </row>
    <row r="138" spans="1:11" ht="16" customHeight="1" x14ac:dyDescent="0.2">
      <c r="A138" s="4"/>
      <c r="B138" s="98"/>
      <c r="C138" s="99"/>
      <c r="D138" s="4"/>
      <c r="E138" s="110"/>
      <c r="F138" s="4"/>
      <c r="G138" s="4"/>
      <c r="H138" s="4"/>
      <c r="I138" s="4"/>
      <c r="J138" s="4"/>
      <c r="K138" s="4"/>
    </row>
    <row r="139" spans="1:11" ht="16" customHeight="1" x14ac:dyDescent="0.2">
      <c r="A139" s="4"/>
      <c r="B139" s="98"/>
      <c r="C139" s="99"/>
      <c r="D139" s="4"/>
      <c r="E139" s="110"/>
      <c r="F139" s="4"/>
      <c r="G139" s="4"/>
      <c r="H139" s="4"/>
      <c r="I139" s="4"/>
      <c r="J139" s="4"/>
      <c r="K139" s="4"/>
    </row>
    <row r="140" spans="1:11" ht="16" customHeight="1" x14ac:dyDescent="0.2">
      <c r="A140" s="4"/>
      <c r="B140" s="98"/>
      <c r="C140" s="99"/>
      <c r="D140" s="4"/>
      <c r="E140" s="110"/>
      <c r="F140" s="4"/>
      <c r="G140" s="4"/>
      <c r="H140" s="4"/>
      <c r="I140" s="4"/>
      <c r="J140" s="4"/>
      <c r="K140" s="4"/>
    </row>
    <row r="141" spans="1:11" ht="16" customHeight="1" x14ac:dyDescent="0.2">
      <c r="A141" s="4"/>
      <c r="B141" s="98"/>
      <c r="C141" s="99"/>
      <c r="D141" s="4"/>
      <c r="E141" s="110"/>
      <c r="F141" s="4"/>
      <c r="G141" s="4"/>
      <c r="H141" s="4"/>
      <c r="I141" s="4"/>
      <c r="J141" s="4"/>
      <c r="K141" s="4"/>
    </row>
    <row r="142" spans="1:11" ht="16" customHeight="1" x14ac:dyDescent="0.2">
      <c r="A142" s="4"/>
      <c r="B142" s="98"/>
      <c r="C142" s="99"/>
      <c r="D142" s="4"/>
      <c r="E142" s="110"/>
      <c r="F142" s="4"/>
      <c r="G142" s="4"/>
      <c r="H142" s="4"/>
      <c r="I142" s="4"/>
      <c r="J142" s="4"/>
      <c r="K142" s="4"/>
    </row>
    <row r="143" spans="1:11" ht="16" customHeight="1" x14ac:dyDescent="0.2">
      <c r="A143" s="4"/>
      <c r="B143" s="98"/>
      <c r="C143" s="99"/>
      <c r="D143" s="4"/>
      <c r="E143" s="110"/>
      <c r="F143" s="4"/>
      <c r="G143" s="4"/>
      <c r="H143" s="4"/>
      <c r="I143" s="4"/>
      <c r="J143" s="4"/>
      <c r="K143" s="4"/>
    </row>
    <row r="144" spans="1:11" ht="16" customHeight="1" x14ac:dyDescent="0.2">
      <c r="A144" s="4"/>
      <c r="B144" s="98"/>
      <c r="C144" s="99"/>
      <c r="D144" s="4"/>
      <c r="E144" s="110"/>
      <c r="F144" s="4"/>
      <c r="G144" s="4"/>
      <c r="H144" s="4"/>
      <c r="I144" s="4"/>
      <c r="J144" s="4"/>
      <c r="K144" s="4"/>
    </row>
    <row r="145" spans="1:11" ht="16" customHeight="1" x14ac:dyDescent="0.2">
      <c r="A145" s="4"/>
      <c r="B145" s="98"/>
      <c r="C145" s="99"/>
      <c r="D145" s="4"/>
      <c r="E145" s="110"/>
      <c r="F145" s="4"/>
      <c r="G145" s="4"/>
      <c r="H145" s="4"/>
      <c r="I145" s="4"/>
      <c r="J145" s="4"/>
      <c r="K145" s="4"/>
    </row>
    <row r="146" spans="1:11" ht="16" customHeight="1" x14ac:dyDescent="0.2">
      <c r="A146" s="4"/>
      <c r="B146" s="98"/>
      <c r="C146" s="99"/>
      <c r="D146" s="4"/>
      <c r="E146" s="110"/>
      <c r="F146" s="4"/>
      <c r="G146" s="4"/>
      <c r="H146" s="4"/>
      <c r="I146" s="4"/>
      <c r="J146" s="4"/>
      <c r="K146" s="4"/>
    </row>
    <row r="147" spans="1:11" ht="16" customHeight="1" x14ac:dyDescent="0.2">
      <c r="A147" s="4"/>
      <c r="B147" s="98"/>
      <c r="C147" s="99"/>
      <c r="D147" s="4"/>
      <c r="E147" s="110"/>
      <c r="F147" s="4"/>
      <c r="G147" s="4"/>
      <c r="H147" s="4"/>
      <c r="I147" s="4"/>
      <c r="J147" s="4"/>
      <c r="K147" s="4"/>
    </row>
    <row r="148" spans="1:11" ht="16" customHeight="1" x14ac:dyDescent="0.2">
      <c r="A148" s="4"/>
      <c r="B148" s="98"/>
      <c r="C148" s="99"/>
      <c r="D148" s="4"/>
      <c r="E148" s="110"/>
      <c r="F148" s="4"/>
      <c r="G148" s="4"/>
      <c r="H148" s="4"/>
      <c r="I148" s="4"/>
      <c r="J148" s="4"/>
      <c r="K148" s="4"/>
    </row>
    <row r="149" spans="1:11" ht="16" customHeight="1" x14ac:dyDescent="0.2">
      <c r="A149" s="4"/>
      <c r="B149" s="98"/>
      <c r="C149" s="99"/>
      <c r="D149" s="4"/>
      <c r="E149" s="110"/>
      <c r="F149" s="4"/>
      <c r="G149" s="4"/>
      <c r="H149" s="4"/>
      <c r="I149" s="4"/>
      <c r="J149" s="4"/>
      <c r="K149" s="4"/>
    </row>
    <row r="150" spans="1:11" ht="16" customHeight="1" x14ac:dyDescent="0.2">
      <c r="A150" s="4"/>
      <c r="B150" s="98"/>
      <c r="C150" s="99"/>
      <c r="D150" s="4"/>
      <c r="E150" s="110"/>
      <c r="F150" s="4"/>
      <c r="G150" s="4"/>
      <c r="H150" s="4"/>
      <c r="I150" s="4"/>
      <c r="J150" s="4"/>
      <c r="K150" s="4"/>
    </row>
    <row r="151" spans="1:11" ht="16" customHeight="1" x14ac:dyDescent="0.2">
      <c r="A151" s="4"/>
      <c r="B151" s="98"/>
      <c r="C151" s="99"/>
      <c r="D151" s="4"/>
      <c r="E151" s="110"/>
      <c r="F151" s="4"/>
      <c r="G151" s="4"/>
      <c r="H151" s="4"/>
      <c r="I151" s="4"/>
      <c r="J151" s="4"/>
      <c r="K151" s="4"/>
    </row>
    <row r="152" spans="1:11" ht="16" customHeight="1" x14ac:dyDescent="0.2">
      <c r="A152" s="4"/>
      <c r="B152" s="98"/>
      <c r="C152" s="99"/>
      <c r="D152" s="4"/>
      <c r="E152" s="110"/>
      <c r="F152" s="4"/>
      <c r="G152" s="4"/>
      <c r="H152" s="4"/>
      <c r="I152" s="4"/>
      <c r="J152" s="4"/>
      <c r="K152" s="4"/>
    </row>
    <row r="153" spans="1:11" ht="16" customHeight="1" x14ac:dyDescent="0.2">
      <c r="A153" s="4"/>
      <c r="B153" s="98"/>
      <c r="C153" s="99"/>
      <c r="D153" s="4"/>
      <c r="E153" s="110"/>
      <c r="F153" s="4"/>
      <c r="G153" s="4"/>
      <c r="H153" s="4"/>
      <c r="I153" s="4"/>
      <c r="J153" s="4"/>
      <c r="K153" s="4"/>
    </row>
    <row r="154" spans="1:11" ht="16" customHeight="1" x14ac:dyDescent="0.2">
      <c r="A154" s="4"/>
      <c r="B154" s="98"/>
      <c r="C154" s="99"/>
      <c r="D154" s="4"/>
      <c r="E154" s="110"/>
      <c r="F154" s="4"/>
      <c r="G154" s="4"/>
      <c r="H154" s="4"/>
      <c r="I154" s="4"/>
      <c r="J154" s="4"/>
      <c r="K154" s="4"/>
    </row>
    <row r="155" spans="1:11" ht="16" customHeight="1" x14ac:dyDescent="0.2">
      <c r="A155" s="4"/>
      <c r="B155" s="98"/>
      <c r="C155" s="99"/>
      <c r="D155" s="4"/>
      <c r="E155" s="110"/>
      <c r="F155" s="4"/>
      <c r="G155" s="4"/>
      <c r="H155" s="4"/>
      <c r="I155" s="4"/>
      <c r="J155" s="4"/>
      <c r="K155" s="4"/>
    </row>
    <row r="156" spans="1:11" ht="16" customHeight="1" x14ac:dyDescent="0.2">
      <c r="A156" s="4"/>
      <c r="B156" s="98"/>
      <c r="C156" s="99"/>
      <c r="D156" s="4"/>
      <c r="E156" s="110"/>
      <c r="F156" s="4"/>
      <c r="G156" s="4"/>
      <c r="H156" s="4"/>
      <c r="I156" s="4"/>
      <c r="J156" s="4"/>
      <c r="K156" s="4"/>
    </row>
    <row r="157" spans="1:11" ht="16" customHeight="1" x14ac:dyDescent="0.2">
      <c r="A157" s="4"/>
      <c r="B157" s="98"/>
      <c r="C157" s="99"/>
      <c r="D157" s="4"/>
      <c r="E157" s="110"/>
      <c r="F157" s="4"/>
      <c r="G157" s="4"/>
      <c r="H157" s="4"/>
      <c r="I157" s="4"/>
      <c r="J157" s="4"/>
      <c r="K157" s="4"/>
    </row>
    <row r="158" spans="1:11" ht="16" customHeight="1" x14ac:dyDescent="0.2">
      <c r="A158" s="4"/>
      <c r="B158" s="98"/>
      <c r="C158" s="99"/>
      <c r="D158" s="4"/>
      <c r="E158" s="110"/>
      <c r="F158" s="4"/>
      <c r="G158" s="4"/>
      <c r="H158" s="4"/>
      <c r="I158" s="4"/>
      <c r="J158" s="4"/>
      <c r="K158" s="4"/>
    </row>
    <row r="159" spans="1:11" ht="16" customHeight="1" x14ac:dyDescent="0.2">
      <c r="A159" s="4"/>
      <c r="B159" s="98"/>
      <c r="C159" s="99"/>
      <c r="D159" s="4"/>
      <c r="E159" s="110"/>
      <c r="F159" s="4"/>
      <c r="G159" s="4"/>
      <c r="H159" s="4"/>
      <c r="I159" s="4"/>
      <c r="J159" s="4"/>
      <c r="K159" s="4"/>
    </row>
    <row r="160" spans="1:11" ht="16" customHeight="1" x14ac:dyDescent="0.2">
      <c r="A160" s="4"/>
      <c r="B160" s="98"/>
      <c r="C160" s="99"/>
      <c r="D160" s="4"/>
      <c r="E160" s="110"/>
      <c r="F160" s="4"/>
      <c r="G160" s="4"/>
      <c r="H160" s="4"/>
      <c r="I160" s="4"/>
      <c r="J160" s="4"/>
      <c r="K160" s="4"/>
    </row>
    <row r="161" spans="1:11" ht="16" customHeight="1" x14ac:dyDescent="0.2">
      <c r="A161" s="4"/>
      <c r="B161" s="98"/>
      <c r="C161" s="99"/>
      <c r="D161" s="4"/>
      <c r="E161" s="110"/>
      <c r="F161" s="4"/>
      <c r="G161" s="4"/>
      <c r="H161" s="4"/>
      <c r="I161" s="4"/>
      <c r="J161" s="4"/>
      <c r="K161" s="4"/>
    </row>
    <row r="162" spans="1:11" ht="16" customHeight="1" x14ac:dyDescent="0.2">
      <c r="A162" s="4"/>
      <c r="B162" s="98"/>
      <c r="C162" s="99"/>
      <c r="D162" s="4"/>
      <c r="E162" s="110"/>
      <c r="F162" s="4"/>
      <c r="G162" s="4"/>
      <c r="H162" s="4"/>
      <c r="I162" s="4"/>
      <c r="J162" s="4"/>
      <c r="K162" s="4"/>
    </row>
    <row r="163" spans="1:11" ht="16" customHeight="1" x14ac:dyDescent="0.2">
      <c r="A163" s="4"/>
      <c r="B163" s="98"/>
      <c r="C163" s="99"/>
      <c r="D163" s="4"/>
      <c r="E163" s="110"/>
      <c r="F163" s="4"/>
      <c r="G163" s="4"/>
      <c r="H163" s="4"/>
      <c r="I163" s="4"/>
      <c r="J163" s="4"/>
      <c r="K163" s="4"/>
    </row>
    <row r="164" spans="1:11" ht="16" customHeight="1" x14ac:dyDescent="0.2">
      <c r="A164" s="4"/>
      <c r="B164" s="98"/>
      <c r="C164" s="99"/>
      <c r="D164" s="4"/>
      <c r="E164" s="110"/>
      <c r="F164" s="4"/>
      <c r="G164" s="4"/>
      <c r="H164" s="4"/>
      <c r="I164" s="4"/>
      <c r="J164" s="4"/>
      <c r="K164" s="4"/>
    </row>
    <row r="165" spans="1:11" ht="16" customHeight="1" x14ac:dyDescent="0.2">
      <c r="A165" s="4"/>
      <c r="B165" s="98"/>
      <c r="C165" s="99"/>
      <c r="D165" s="4"/>
      <c r="E165" s="110"/>
      <c r="F165" s="4"/>
      <c r="G165" s="4"/>
      <c r="H165" s="4"/>
      <c r="I165" s="4"/>
      <c r="J165" s="4"/>
      <c r="K165" s="4"/>
    </row>
    <row r="166" spans="1:11" ht="16" customHeight="1" x14ac:dyDescent="0.2">
      <c r="A166" s="4"/>
      <c r="B166" s="98"/>
      <c r="C166" s="99"/>
      <c r="D166" s="4"/>
      <c r="E166" s="110"/>
      <c r="F166" s="4"/>
      <c r="G166" s="4"/>
      <c r="H166" s="4"/>
      <c r="I166" s="4"/>
      <c r="J166" s="4"/>
      <c r="K166" s="4"/>
    </row>
    <row r="167" spans="1:11" ht="16" customHeight="1" x14ac:dyDescent="0.2">
      <c r="A167" s="4"/>
      <c r="B167" s="98"/>
      <c r="C167" s="99"/>
      <c r="D167" s="4"/>
      <c r="E167" s="110"/>
      <c r="F167" s="4"/>
      <c r="G167" s="4"/>
      <c r="H167" s="4"/>
      <c r="I167" s="4"/>
      <c r="J167" s="4"/>
      <c r="K167" s="4"/>
    </row>
    <row r="168" spans="1:11" ht="16" customHeight="1" x14ac:dyDescent="0.2">
      <c r="A168" s="4"/>
      <c r="B168" s="98"/>
      <c r="C168" s="99"/>
      <c r="D168" s="4"/>
      <c r="E168" s="110"/>
      <c r="F168" s="4"/>
      <c r="G168" s="4"/>
      <c r="H168" s="4"/>
      <c r="I168" s="4"/>
      <c r="J168" s="4"/>
      <c r="K168" s="4"/>
    </row>
    <row r="169" spans="1:11" ht="16" customHeight="1" x14ac:dyDescent="0.2">
      <c r="A169" s="4"/>
      <c r="B169" s="98"/>
      <c r="C169" s="99"/>
      <c r="D169" s="4"/>
      <c r="E169" s="110"/>
      <c r="F169" s="4"/>
      <c r="G169" s="4"/>
      <c r="H169" s="4"/>
      <c r="I169" s="4"/>
      <c r="J169" s="4"/>
      <c r="K169" s="4"/>
    </row>
    <row r="170" spans="1:11" ht="16" customHeight="1" x14ac:dyDescent="0.2">
      <c r="A170" s="4"/>
      <c r="B170" s="98"/>
      <c r="C170" s="99"/>
      <c r="D170" s="4"/>
      <c r="E170" s="110"/>
      <c r="F170" s="4"/>
      <c r="G170" s="4"/>
      <c r="H170" s="4"/>
      <c r="I170" s="4"/>
      <c r="J170" s="4"/>
      <c r="K170" s="4"/>
    </row>
    <row r="171" spans="1:11" ht="16" customHeight="1" x14ac:dyDescent="0.2">
      <c r="A171" s="4"/>
      <c r="B171" s="98"/>
      <c r="C171" s="99"/>
      <c r="D171" s="4"/>
      <c r="E171" s="110"/>
      <c r="F171" s="4"/>
      <c r="G171" s="4"/>
      <c r="H171" s="4"/>
      <c r="I171" s="4"/>
      <c r="J171" s="4"/>
      <c r="K171" s="4"/>
    </row>
    <row r="172" spans="1:11" ht="16" customHeight="1" x14ac:dyDescent="0.2">
      <c r="A172" s="4"/>
      <c r="B172" s="98"/>
      <c r="C172" s="99"/>
      <c r="D172" s="4"/>
      <c r="E172" s="110"/>
      <c r="F172" s="4"/>
      <c r="G172" s="4"/>
      <c r="H172" s="4"/>
      <c r="I172" s="4"/>
      <c r="J172" s="4"/>
      <c r="K172" s="4"/>
    </row>
    <row r="173" spans="1:11" ht="16" customHeight="1" x14ac:dyDescent="0.2">
      <c r="A173" s="4"/>
      <c r="B173" s="98"/>
      <c r="C173" s="99"/>
      <c r="D173" s="4"/>
      <c r="E173" s="110"/>
      <c r="F173" s="4"/>
      <c r="G173" s="4"/>
      <c r="H173" s="4"/>
      <c r="I173" s="4"/>
      <c r="J173" s="4"/>
      <c r="K173" s="4"/>
    </row>
    <row r="174" spans="1:11" ht="16" customHeight="1" x14ac:dyDescent="0.2">
      <c r="A174" s="4"/>
      <c r="B174" s="98"/>
      <c r="C174" s="99"/>
      <c r="D174" s="4"/>
      <c r="E174" s="110"/>
      <c r="F174" s="4"/>
      <c r="G174" s="4"/>
      <c r="H174" s="4"/>
      <c r="I174" s="4"/>
      <c r="J174" s="4"/>
      <c r="K174" s="4"/>
    </row>
    <row r="175" spans="1:11" ht="16" customHeight="1" x14ac:dyDescent="0.2">
      <c r="A175" s="4"/>
      <c r="B175" s="98"/>
      <c r="C175" s="99"/>
      <c r="D175" s="4"/>
      <c r="E175" s="110"/>
      <c r="F175" s="4"/>
      <c r="G175" s="4"/>
      <c r="H175" s="4"/>
      <c r="I175" s="4"/>
      <c r="J175" s="4"/>
      <c r="K175" s="4"/>
    </row>
    <row r="176" spans="1:11" ht="16" customHeight="1" x14ac:dyDescent="0.2">
      <c r="A176" s="4"/>
      <c r="B176" s="98"/>
      <c r="C176" s="99"/>
      <c r="D176" s="4"/>
      <c r="E176" s="110"/>
      <c r="F176" s="4"/>
      <c r="G176" s="4"/>
      <c r="H176" s="4"/>
      <c r="I176" s="4"/>
      <c r="J176" s="4"/>
      <c r="K176" s="4"/>
    </row>
    <row r="177" spans="1:11" ht="16" customHeight="1" x14ac:dyDescent="0.2">
      <c r="A177" s="4"/>
      <c r="B177" s="98"/>
      <c r="C177" s="99"/>
      <c r="D177" s="4"/>
      <c r="E177" s="110"/>
      <c r="F177" s="4"/>
      <c r="G177" s="4"/>
      <c r="H177" s="4"/>
      <c r="I177" s="4"/>
      <c r="J177" s="4"/>
      <c r="K177" s="4"/>
    </row>
    <row r="178" spans="1:11" ht="16" customHeight="1" x14ac:dyDescent="0.2">
      <c r="A178" s="4"/>
      <c r="B178" s="98"/>
      <c r="C178" s="99"/>
      <c r="D178" s="4"/>
      <c r="E178" s="110"/>
      <c r="F178" s="4"/>
      <c r="G178" s="4"/>
      <c r="H178" s="4"/>
      <c r="I178" s="4"/>
      <c r="J178" s="4"/>
      <c r="K178" s="4"/>
    </row>
    <row r="179" spans="1:11" ht="16" customHeight="1" x14ac:dyDescent="0.2">
      <c r="A179" s="4"/>
      <c r="B179" s="98"/>
      <c r="C179" s="99"/>
      <c r="D179" s="4"/>
      <c r="E179" s="110"/>
      <c r="F179" s="4"/>
      <c r="G179" s="4"/>
      <c r="H179" s="4"/>
      <c r="I179" s="4"/>
      <c r="J179" s="4"/>
      <c r="K179" s="4"/>
    </row>
    <row r="180" spans="1:11" ht="16" customHeight="1" x14ac:dyDescent="0.2">
      <c r="A180" s="4"/>
      <c r="B180" s="98"/>
      <c r="C180" s="99"/>
      <c r="D180" s="4"/>
      <c r="E180" s="110"/>
      <c r="F180" s="4"/>
      <c r="G180" s="4"/>
      <c r="H180" s="4"/>
      <c r="I180" s="4"/>
      <c r="J180" s="4"/>
      <c r="K180" s="4"/>
    </row>
    <row r="181" spans="1:11" ht="16" customHeight="1" x14ac:dyDescent="0.2">
      <c r="A181" s="4"/>
      <c r="B181" s="98"/>
      <c r="C181" s="99"/>
      <c r="D181" s="4"/>
      <c r="E181" s="110"/>
      <c r="F181" s="4"/>
      <c r="G181" s="4"/>
      <c r="H181" s="4"/>
      <c r="I181" s="4"/>
      <c r="J181" s="4"/>
      <c r="K181" s="4"/>
    </row>
    <row r="182" spans="1:11" ht="16" customHeight="1" x14ac:dyDescent="0.2">
      <c r="A182" s="4"/>
      <c r="B182" s="98"/>
      <c r="C182" s="99"/>
      <c r="D182" s="4"/>
      <c r="E182" s="110"/>
      <c r="F182" s="4"/>
      <c r="G182" s="4"/>
      <c r="H182" s="4"/>
      <c r="I182" s="4"/>
      <c r="J182" s="4"/>
      <c r="K182" s="4"/>
    </row>
    <row r="183" spans="1:11" ht="16" customHeight="1" x14ac:dyDescent="0.2">
      <c r="A183" s="4"/>
      <c r="B183" s="98"/>
      <c r="C183" s="99"/>
      <c r="D183" s="4"/>
      <c r="E183" s="110"/>
      <c r="F183" s="4"/>
      <c r="G183" s="4"/>
      <c r="H183" s="4"/>
      <c r="I183" s="4"/>
      <c r="J183" s="4"/>
      <c r="K183" s="4"/>
    </row>
    <row r="184" spans="1:11" ht="16" customHeight="1" x14ac:dyDescent="0.2">
      <c r="A184" s="4"/>
      <c r="B184" s="98"/>
      <c r="C184" s="99"/>
      <c r="D184" s="4"/>
      <c r="E184" s="110"/>
      <c r="F184" s="4"/>
      <c r="G184" s="4"/>
      <c r="H184" s="4"/>
      <c r="I184" s="4"/>
      <c r="J184" s="4"/>
      <c r="K184" s="4"/>
    </row>
    <row r="185" spans="1:11" ht="16" customHeight="1" x14ac:dyDescent="0.2">
      <c r="A185" s="4"/>
      <c r="B185" s="98"/>
      <c r="C185" s="99"/>
      <c r="D185" s="4"/>
      <c r="E185" s="110"/>
      <c r="F185" s="4"/>
      <c r="G185" s="4"/>
      <c r="H185" s="4"/>
      <c r="I185" s="4"/>
      <c r="J185" s="4"/>
      <c r="K185" s="4"/>
    </row>
    <row r="186" spans="1:11" ht="16" customHeight="1" x14ac:dyDescent="0.2">
      <c r="A186" s="4"/>
      <c r="B186" s="98"/>
      <c r="C186" s="99"/>
      <c r="D186" s="4"/>
      <c r="E186" s="110"/>
      <c r="F186" s="4"/>
      <c r="G186" s="4"/>
      <c r="H186" s="4"/>
      <c r="I186" s="4"/>
      <c r="J186" s="4"/>
      <c r="K186" s="4"/>
    </row>
    <row r="187" spans="1:11" ht="16" customHeight="1" x14ac:dyDescent="0.2">
      <c r="A187" s="4"/>
      <c r="B187" s="98"/>
      <c r="C187" s="99"/>
      <c r="D187" s="4"/>
      <c r="E187" s="110"/>
      <c r="F187" s="4"/>
      <c r="G187" s="4"/>
      <c r="H187" s="4"/>
      <c r="I187" s="4"/>
      <c r="J187" s="4"/>
      <c r="K187" s="4"/>
    </row>
    <row r="188" spans="1:11" ht="16" customHeight="1" x14ac:dyDescent="0.2">
      <c r="A188" s="4"/>
      <c r="B188" s="98"/>
      <c r="C188" s="99"/>
      <c r="D188" s="4"/>
      <c r="E188" s="110"/>
      <c r="F188" s="4"/>
      <c r="G188" s="4"/>
      <c r="H188" s="4"/>
      <c r="I188" s="4"/>
      <c r="J188" s="4"/>
      <c r="K188" s="4"/>
    </row>
    <row r="189" spans="1:11" ht="16" customHeight="1" x14ac:dyDescent="0.2">
      <c r="A189" s="4"/>
      <c r="B189" s="98"/>
      <c r="C189" s="99"/>
      <c r="D189" s="4"/>
      <c r="E189" s="110"/>
      <c r="F189" s="4"/>
      <c r="G189" s="4"/>
      <c r="H189" s="4"/>
      <c r="I189" s="4"/>
      <c r="J189" s="4"/>
      <c r="K189" s="4"/>
    </row>
    <row r="190" spans="1:11" ht="16" customHeight="1" x14ac:dyDescent="0.2">
      <c r="A190" s="4"/>
      <c r="B190" s="98"/>
      <c r="C190" s="99"/>
      <c r="D190" s="4"/>
      <c r="E190" s="110"/>
      <c r="F190" s="4"/>
      <c r="G190" s="4"/>
      <c r="H190" s="4"/>
      <c r="I190" s="4"/>
      <c r="J190" s="4"/>
      <c r="K190" s="4"/>
    </row>
    <row r="191" spans="1:11" ht="16" customHeight="1" x14ac:dyDescent="0.2">
      <c r="A191" s="4"/>
      <c r="B191" s="98"/>
      <c r="C191" s="99"/>
      <c r="D191" s="4"/>
      <c r="E191" s="110"/>
      <c r="F191" s="4"/>
      <c r="G191" s="4"/>
      <c r="H191" s="4"/>
      <c r="I191" s="4"/>
      <c r="J191" s="4"/>
      <c r="K191" s="4"/>
    </row>
    <row r="192" spans="1:11" ht="16" customHeight="1" x14ac:dyDescent="0.2">
      <c r="A192" s="4"/>
      <c r="B192" s="98"/>
      <c r="C192" s="99"/>
      <c r="D192" s="4"/>
      <c r="E192" s="110"/>
      <c r="F192" s="4"/>
      <c r="G192" s="4"/>
      <c r="H192" s="4"/>
      <c r="I192" s="4"/>
      <c r="J192" s="4"/>
      <c r="K192" s="4"/>
    </row>
    <row r="193" spans="1:11" ht="16" customHeight="1" x14ac:dyDescent="0.2">
      <c r="A193" s="4"/>
      <c r="B193" s="98"/>
      <c r="C193" s="99"/>
      <c r="D193" s="4"/>
      <c r="E193" s="110"/>
      <c r="F193" s="4"/>
      <c r="G193" s="4"/>
      <c r="H193" s="4"/>
      <c r="I193" s="4"/>
      <c r="J193" s="4"/>
      <c r="K193" s="4"/>
    </row>
    <row r="194" spans="1:11" ht="16" customHeight="1" x14ac:dyDescent="0.2">
      <c r="A194" s="4"/>
      <c r="B194" s="98"/>
      <c r="C194" s="99"/>
      <c r="D194" s="4"/>
      <c r="E194" s="110"/>
      <c r="F194" s="4"/>
      <c r="G194" s="4"/>
      <c r="H194" s="4"/>
      <c r="I194" s="4"/>
      <c r="J194" s="4"/>
      <c r="K194" s="4"/>
    </row>
    <row r="195" spans="1:11" ht="16" customHeight="1" x14ac:dyDescent="0.2">
      <c r="A195" s="4"/>
      <c r="B195" s="98"/>
      <c r="C195" s="99"/>
      <c r="D195" s="4"/>
      <c r="E195" s="110"/>
      <c r="F195" s="4"/>
      <c r="G195" s="4"/>
      <c r="H195" s="4"/>
      <c r="I195" s="4"/>
      <c r="J195" s="4"/>
      <c r="K195" s="4"/>
    </row>
    <row r="196" spans="1:11" ht="16" customHeight="1" x14ac:dyDescent="0.2">
      <c r="A196" s="4"/>
      <c r="B196" s="98"/>
      <c r="C196" s="99"/>
      <c r="D196" s="4"/>
      <c r="E196" s="110"/>
      <c r="F196" s="4"/>
      <c r="G196" s="4"/>
      <c r="H196" s="4"/>
      <c r="I196" s="4"/>
      <c r="J196" s="4"/>
      <c r="K196" s="4"/>
    </row>
    <row r="197" spans="1:11" ht="16" customHeight="1" x14ac:dyDescent="0.2">
      <c r="A197" s="4"/>
      <c r="B197" s="98"/>
      <c r="C197" s="99"/>
      <c r="D197" s="4"/>
      <c r="E197" s="110"/>
      <c r="F197" s="4"/>
      <c r="G197" s="4"/>
      <c r="H197" s="4"/>
      <c r="I197" s="4"/>
      <c r="J197" s="4"/>
      <c r="K197" s="4"/>
    </row>
    <row r="198" spans="1:11" ht="16" customHeight="1" x14ac:dyDescent="0.2">
      <c r="A198" s="4"/>
      <c r="B198" s="98"/>
      <c r="C198" s="99"/>
      <c r="D198" s="4"/>
      <c r="E198" s="110"/>
      <c r="F198" s="4"/>
      <c r="G198" s="4"/>
      <c r="H198" s="4"/>
      <c r="I198" s="4"/>
      <c r="J198" s="4"/>
      <c r="K198" s="4"/>
    </row>
    <row r="199" spans="1:11" ht="16" customHeight="1" x14ac:dyDescent="0.2">
      <c r="A199" s="4"/>
      <c r="B199" s="98"/>
      <c r="C199" s="99"/>
      <c r="D199" s="4"/>
      <c r="E199" s="110"/>
      <c r="F199" s="4"/>
      <c r="G199" s="4"/>
      <c r="H199" s="4"/>
      <c r="I199" s="4"/>
      <c r="J199" s="4"/>
      <c r="K199" s="4"/>
    </row>
    <row r="200" spans="1:11" ht="16" customHeight="1" x14ac:dyDescent="0.2">
      <c r="A200" s="4"/>
      <c r="B200" s="98"/>
      <c r="C200" s="99"/>
      <c r="D200" s="4"/>
      <c r="E200" s="110"/>
      <c r="F200" s="4"/>
      <c r="G200" s="4"/>
      <c r="H200" s="4"/>
      <c r="I200" s="4"/>
      <c r="J200" s="4"/>
      <c r="K200" s="4"/>
    </row>
    <row r="201" spans="1:11" ht="16" customHeight="1" x14ac:dyDescent="0.2">
      <c r="A201" s="4"/>
      <c r="B201" s="98"/>
      <c r="C201" s="99"/>
      <c r="D201" s="4"/>
      <c r="E201" s="110"/>
      <c r="F201" s="4"/>
      <c r="G201" s="4"/>
      <c r="H201" s="4"/>
      <c r="I201" s="4"/>
      <c r="J201" s="4"/>
      <c r="K201" s="4"/>
    </row>
    <row r="202" spans="1:11" ht="16" customHeight="1" x14ac:dyDescent="0.2">
      <c r="A202" s="4"/>
      <c r="B202" s="98"/>
      <c r="C202" s="99"/>
      <c r="D202" s="4"/>
      <c r="E202" s="110"/>
      <c r="F202" s="4"/>
      <c r="G202" s="4"/>
      <c r="H202" s="4"/>
      <c r="I202" s="4"/>
      <c r="J202" s="4"/>
      <c r="K202" s="4"/>
    </row>
    <row r="203" spans="1:11" ht="16" customHeight="1" x14ac:dyDescent="0.2">
      <c r="A203" s="4"/>
      <c r="B203" s="98"/>
      <c r="C203" s="99"/>
      <c r="D203" s="4"/>
      <c r="E203" s="110"/>
      <c r="F203" s="4"/>
      <c r="G203" s="4"/>
      <c r="H203" s="4"/>
      <c r="I203" s="4"/>
      <c r="J203" s="4"/>
      <c r="K203" s="4"/>
    </row>
    <row r="204" spans="1:11" ht="16" customHeight="1" x14ac:dyDescent="0.2">
      <c r="A204" s="4"/>
      <c r="B204" s="98"/>
      <c r="C204" s="99"/>
      <c r="D204" s="4"/>
      <c r="E204" s="110"/>
      <c r="F204" s="4"/>
      <c r="G204" s="4"/>
      <c r="H204" s="4"/>
      <c r="I204" s="4"/>
      <c r="J204" s="4"/>
      <c r="K204" s="4"/>
    </row>
    <row r="205" spans="1:11" ht="16" customHeight="1" x14ac:dyDescent="0.2">
      <c r="A205" s="4"/>
      <c r="B205" s="98"/>
      <c r="C205" s="99"/>
      <c r="D205" s="4"/>
      <c r="E205" s="110"/>
      <c r="F205" s="4"/>
      <c r="G205" s="4"/>
      <c r="H205" s="4"/>
      <c r="I205" s="4"/>
      <c r="J205" s="4"/>
      <c r="K205" s="4"/>
    </row>
    <row r="206" spans="1:11" ht="16" customHeight="1" x14ac:dyDescent="0.2">
      <c r="A206" s="4"/>
      <c r="B206" s="98"/>
      <c r="C206" s="99"/>
      <c r="D206" s="4"/>
      <c r="E206" s="110"/>
      <c r="F206" s="4"/>
      <c r="G206" s="4"/>
      <c r="H206" s="4"/>
      <c r="I206" s="4"/>
      <c r="J206" s="4"/>
      <c r="K206" s="4"/>
    </row>
    <row r="207" spans="1:11" ht="16" customHeight="1" x14ac:dyDescent="0.2">
      <c r="A207" s="4"/>
      <c r="B207" s="98"/>
      <c r="C207" s="99"/>
      <c r="D207" s="4"/>
      <c r="E207" s="110"/>
      <c r="F207" s="4"/>
      <c r="G207" s="4"/>
      <c r="H207" s="4"/>
      <c r="I207" s="4"/>
      <c r="J207" s="4"/>
      <c r="K207" s="4"/>
    </row>
    <row r="208" spans="1:11" ht="16" customHeight="1" x14ac:dyDescent="0.2">
      <c r="A208" s="4"/>
      <c r="B208" s="98"/>
      <c r="C208" s="99"/>
      <c r="D208" s="4"/>
      <c r="E208" s="110"/>
      <c r="F208" s="4"/>
      <c r="G208" s="4"/>
      <c r="H208" s="4"/>
      <c r="I208" s="4"/>
      <c r="J208" s="4"/>
      <c r="K208" s="4"/>
    </row>
    <row r="209" spans="1:11" ht="16" customHeight="1" x14ac:dyDescent="0.2">
      <c r="A209" s="4"/>
      <c r="B209" s="98"/>
      <c r="C209" s="99"/>
      <c r="D209" s="4"/>
      <c r="E209" s="110"/>
      <c r="F209" s="4"/>
      <c r="G209" s="4"/>
      <c r="H209" s="4"/>
      <c r="I209" s="4"/>
      <c r="J209" s="4"/>
      <c r="K209" s="4"/>
    </row>
    <row r="210" spans="1:11" ht="16" customHeight="1" x14ac:dyDescent="0.2">
      <c r="A210" s="4"/>
      <c r="B210" s="98"/>
      <c r="C210" s="99"/>
      <c r="D210" s="4"/>
      <c r="E210" s="110"/>
      <c r="F210" s="4"/>
      <c r="G210" s="4"/>
      <c r="H210" s="4"/>
      <c r="I210" s="4"/>
      <c r="J210" s="4"/>
      <c r="K210" s="4"/>
    </row>
    <row r="211" spans="1:11" ht="16" customHeight="1" x14ac:dyDescent="0.2">
      <c r="A211" s="4"/>
      <c r="B211" s="98"/>
      <c r="C211" s="99"/>
      <c r="D211" s="4"/>
      <c r="E211" s="110"/>
      <c r="F211" s="4"/>
      <c r="G211" s="4"/>
      <c r="H211" s="4"/>
      <c r="I211" s="4"/>
      <c r="J211" s="4"/>
      <c r="K211" s="4"/>
    </row>
    <row r="212" spans="1:11" ht="16" customHeight="1" x14ac:dyDescent="0.2">
      <c r="A212" s="4"/>
      <c r="B212" s="98"/>
      <c r="C212" s="99"/>
      <c r="D212" s="4"/>
      <c r="E212" s="110"/>
      <c r="F212" s="4"/>
      <c r="G212" s="4"/>
      <c r="H212" s="4"/>
      <c r="I212" s="4"/>
      <c r="J212" s="4"/>
      <c r="K212" s="4"/>
    </row>
    <row r="213" spans="1:11" ht="16" customHeight="1" x14ac:dyDescent="0.2">
      <c r="A213" s="4"/>
      <c r="B213" s="98"/>
      <c r="C213" s="99"/>
      <c r="D213" s="4"/>
      <c r="E213" s="110"/>
      <c r="F213" s="4"/>
      <c r="G213" s="4"/>
      <c r="H213" s="4"/>
      <c r="I213" s="4"/>
      <c r="J213" s="4"/>
      <c r="K213" s="4"/>
    </row>
    <row r="214" spans="1:11" ht="16" customHeight="1" x14ac:dyDescent="0.2">
      <c r="A214" s="4"/>
      <c r="B214" s="98"/>
      <c r="C214" s="99"/>
      <c r="D214" s="4"/>
      <c r="E214" s="110"/>
      <c r="F214" s="4"/>
      <c r="G214" s="4"/>
      <c r="H214" s="4"/>
      <c r="I214" s="4"/>
      <c r="J214" s="4"/>
      <c r="K214" s="4"/>
    </row>
    <row r="215" spans="1:11" ht="16" customHeight="1" x14ac:dyDescent="0.2">
      <c r="A215" s="4"/>
      <c r="B215" s="98"/>
      <c r="C215" s="99"/>
      <c r="D215" s="4"/>
      <c r="E215" s="110"/>
      <c r="F215" s="4"/>
      <c r="G215" s="4"/>
      <c r="H215" s="4"/>
      <c r="I215" s="4"/>
      <c r="J215" s="4"/>
      <c r="K215" s="4"/>
    </row>
    <row r="216" spans="1:11" ht="16" customHeight="1" x14ac:dyDescent="0.2">
      <c r="A216" s="4"/>
      <c r="B216" s="98"/>
      <c r="C216" s="99"/>
      <c r="D216" s="4"/>
      <c r="E216" s="110"/>
      <c r="F216" s="4"/>
      <c r="G216" s="4"/>
      <c r="H216" s="4"/>
      <c r="I216" s="4"/>
      <c r="J216" s="4"/>
      <c r="K216" s="4"/>
    </row>
    <row r="217" spans="1:11" ht="16" customHeight="1" x14ac:dyDescent="0.2">
      <c r="A217" s="4"/>
      <c r="B217" s="98"/>
      <c r="C217" s="99"/>
      <c r="D217" s="4"/>
      <c r="E217" s="110"/>
      <c r="F217" s="4"/>
      <c r="G217" s="4"/>
      <c r="H217" s="4"/>
      <c r="I217" s="4"/>
      <c r="J217" s="4"/>
      <c r="K217" s="4"/>
    </row>
    <row r="218" spans="1:11" ht="16" customHeight="1" x14ac:dyDescent="0.2">
      <c r="A218" s="4"/>
      <c r="B218" s="98"/>
      <c r="C218" s="99"/>
      <c r="D218" s="4"/>
      <c r="E218" s="110"/>
      <c r="F218" s="4"/>
      <c r="G218" s="4"/>
      <c r="H218" s="4"/>
      <c r="I218" s="4"/>
      <c r="J218" s="4"/>
      <c r="K218" s="4"/>
    </row>
    <row r="219" spans="1:11" ht="16" customHeight="1" x14ac:dyDescent="0.2">
      <c r="A219" s="4"/>
      <c r="B219" s="98"/>
      <c r="C219" s="99"/>
      <c r="D219" s="4"/>
      <c r="E219" s="110"/>
      <c r="F219" s="4"/>
      <c r="G219" s="4"/>
      <c r="H219" s="4"/>
      <c r="I219" s="4"/>
      <c r="J219" s="4"/>
      <c r="K219" s="4"/>
    </row>
    <row r="220" spans="1:11" ht="16" customHeight="1" x14ac:dyDescent="0.2">
      <c r="A220" s="4"/>
      <c r="B220" s="98"/>
      <c r="C220" s="99"/>
      <c r="D220" s="4"/>
      <c r="E220" s="110"/>
      <c r="F220" s="4"/>
      <c r="G220" s="4"/>
      <c r="H220" s="4"/>
      <c r="I220" s="4"/>
      <c r="J220" s="4"/>
      <c r="K220" s="4"/>
    </row>
    <row r="221" spans="1:11" ht="16" customHeight="1" x14ac:dyDescent="0.2">
      <c r="A221" s="4"/>
      <c r="B221" s="98"/>
      <c r="C221" s="99"/>
      <c r="D221" s="4"/>
      <c r="E221" s="110"/>
      <c r="F221" s="4"/>
      <c r="G221" s="4"/>
      <c r="H221" s="4"/>
      <c r="I221" s="4"/>
      <c r="J221" s="4"/>
      <c r="K221" s="4"/>
    </row>
    <row r="222" spans="1:11" ht="16" customHeight="1" x14ac:dyDescent="0.2">
      <c r="A222" s="4"/>
      <c r="B222" s="98"/>
      <c r="C222" s="99"/>
      <c r="D222" s="4"/>
      <c r="E222" s="110"/>
      <c r="F222" s="4"/>
      <c r="G222" s="4"/>
      <c r="H222" s="4"/>
      <c r="I222" s="4"/>
      <c r="J222" s="4"/>
      <c r="K222" s="4"/>
    </row>
    <row r="223" spans="1:11" ht="16" customHeight="1" x14ac:dyDescent="0.2">
      <c r="A223" s="4"/>
      <c r="B223" s="98"/>
      <c r="C223" s="99"/>
      <c r="D223" s="4"/>
      <c r="E223" s="110"/>
      <c r="F223" s="4"/>
      <c r="G223" s="4"/>
      <c r="H223" s="4"/>
      <c r="I223" s="4"/>
      <c r="J223" s="4"/>
      <c r="K223" s="4"/>
    </row>
    <row r="224" spans="1:11" ht="16" customHeight="1" x14ac:dyDescent="0.2">
      <c r="A224" s="4"/>
      <c r="B224" s="98"/>
      <c r="C224" s="99"/>
      <c r="D224" s="4"/>
      <c r="E224" s="110"/>
      <c r="F224" s="4"/>
      <c r="G224" s="4"/>
      <c r="H224" s="4"/>
      <c r="I224" s="4"/>
      <c r="J224" s="4"/>
      <c r="K224" s="4"/>
    </row>
    <row r="225" spans="1:11" ht="16" customHeight="1" x14ac:dyDescent="0.2">
      <c r="A225" s="4"/>
      <c r="B225" s="98"/>
      <c r="C225" s="99"/>
      <c r="D225" s="4"/>
      <c r="E225" s="110"/>
      <c r="F225" s="4"/>
      <c r="G225" s="4"/>
      <c r="H225" s="4"/>
      <c r="I225" s="4"/>
      <c r="J225" s="4"/>
      <c r="K225" s="4"/>
    </row>
    <row r="226" spans="1:11" ht="16" customHeight="1" x14ac:dyDescent="0.2">
      <c r="A226" s="4"/>
      <c r="B226" s="98"/>
      <c r="C226" s="99"/>
      <c r="D226" s="4"/>
      <c r="E226" s="110"/>
      <c r="F226" s="4"/>
      <c r="G226" s="4"/>
      <c r="H226" s="4"/>
      <c r="I226" s="4"/>
      <c r="J226" s="4"/>
      <c r="K226" s="4"/>
    </row>
    <row r="227" spans="1:11" ht="16" customHeight="1" x14ac:dyDescent="0.2">
      <c r="A227" s="4"/>
      <c r="B227" s="98"/>
      <c r="C227" s="99"/>
      <c r="D227" s="4"/>
      <c r="E227" s="110"/>
      <c r="F227" s="4"/>
      <c r="G227" s="4"/>
      <c r="H227" s="4"/>
      <c r="I227" s="4"/>
      <c r="J227" s="4"/>
      <c r="K227" s="4"/>
    </row>
    <row r="228" spans="1:11" ht="16" customHeight="1" x14ac:dyDescent="0.2">
      <c r="A228" s="4"/>
      <c r="B228" s="98"/>
      <c r="C228" s="99"/>
      <c r="D228" s="4"/>
      <c r="E228" s="110"/>
      <c r="F228" s="4"/>
      <c r="G228" s="4"/>
      <c r="H228" s="4"/>
      <c r="I228" s="4"/>
      <c r="J228" s="4"/>
      <c r="K228" s="4"/>
    </row>
    <row r="229" spans="1:11" ht="16" customHeight="1" x14ac:dyDescent="0.2">
      <c r="A229" s="4"/>
      <c r="B229" s="98"/>
      <c r="C229" s="99"/>
      <c r="D229" s="4"/>
      <c r="E229" s="110"/>
      <c r="F229" s="4"/>
      <c r="G229" s="4"/>
      <c r="H229" s="4"/>
      <c r="I229" s="4"/>
      <c r="J229" s="4"/>
      <c r="K229" s="4"/>
    </row>
    <row r="230" spans="1:11" ht="16" customHeight="1" x14ac:dyDescent="0.2">
      <c r="A230" s="4"/>
      <c r="B230" s="98"/>
      <c r="C230" s="99"/>
      <c r="D230" s="4"/>
      <c r="E230" s="110"/>
      <c r="F230" s="4"/>
      <c r="G230" s="4"/>
      <c r="H230" s="4"/>
      <c r="I230" s="4"/>
      <c r="J230" s="4"/>
      <c r="K230" s="4"/>
    </row>
    <row r="231" spans="1:11" ht="16" customHeight="1" x14ac:dyDescent="0.2">
      <c r="A231" s="4"/>
      <c r="B231" s="98"/>
      <c r="C231" s="99"/>
      <c r="D231" s="4"/>
      <c r="E231" s="110"/>
      <c r="F231" s="4"/>
      <c r="G231" s="4"/>
      <c r="H231" s="4"/>
      <c r="I231" s="4"/>
      <c r="J231" s="4"/>
      <c r="K231" s="4"/>
    </row>
    <row r="232" spans="1:11" ht="16" customHeight="1" x14ac:dyDescent="0.2">
      <c r="A232" s="4"/>
      <c r="B232" s="98"/>
      <c r="C232" s="99"/>
      <c r="D232" s="4"/>
      <c r="E232" s="110"/>
      <c r="F232" s="4"/>
      <c r="G232" s="4"/>
      <c r="H232" s="4"/>
      <c r="I232" s="4"/>
      <c r="J232" s="4"/>
      <c r="K232" s="4"/>
    </row>
    <row r="233" spans="1:11" ht="16" customHeight="1" x14ac:dyDescent="0.2">
      <c r="A233" s="4"/>
      <c r="B233" s="98"/>
      <c r="C233" s="99"/>
      <c r="D233" s="4"/>
      <c r="E233" s="110"/>
      <c r="F233" s="4"/>
      <c r="G233" s="4"/>
      <c r="H233" s="4"/>
      <c r="I233" s="4"/>
      <c r="J233" s="4"/>
      <c r="K233" s="4"/>
    </row>
    <row r="234" spans="1:11" ht="16" customHeight="1" x14ac:dyDescent="0.2">
      <c r="A234" s="4"/>
      <c r="B234" s="98"/>
      <c r="C234" s="99"/>
      <c r="D234" s="4"/>
      <c r="E234" s="110"/>
      <c r="F234" s="4"/>
      <c r="G234" s="4"/>
      <c r="H234" s="4"/>
      <c r="I234" s="4"/>
      <c r="J234" s="4"/>
      <c r="K234" s="4"/>
    </row>
    <row r="235" spans="1:11" ht="16" customHeight="1" x14ac:dyDescent="0.2">
      <c r="A235" s="4"/>
      <c r="B235" s="98"/>
      <c r="C235" s="99"/>
      <c r="D235" s="4"/>
      <c r="E235" s="110"/>
      <c r="F235" s="4"/>
      <c r="G235" s="4"/>
      <c r="H235" s="4"/>
      <c r="I235" s="4"/>
      <c r="J235" s="4"/>
      <c r="K235" s="4"/>
    </row>
    <row r="236" spans="1:11" ht="16" customHeight="1" x14ac:dyDescent="0.2">
      <c r="A236" s="4"/>
      <c r="B236" s="98"/>
      <c r="C236" s="99"/>
      <c r="D236" s="4"/>
      <c r="E236" s="110"/>
      <c r="F236" s="4"/>
      <c r="G236" s="4"/>
      <c r="H236" s="4"/>
      <c r="I236" s="4"/>
      <c r="J236" s="4"/>
      <c r="K236" s="4"/>
    </row>
    <row r="237" spans="1:11" ht="16" customHeight="1" x14ac:dyDescent="0.2">
      <c r="A237" s="4"/>
      <c r="B237" s="98"/>
      <c r="C237" s="99"/>
      <c r="D237" s="4"/>
      <c r="E237" s="110"/>
      <c r="F237" s="4"/>
      <c r="G237" s="4"/>
      <c r="H237" s="4"/>
      <c r="I237" s="4"/>
      <c r="J237" s="4"/>
      <c r="K237" s="4"/>
    </row>
    <row r="238" spans="1:11" ht="16" customHeight="1" x14ac:dyDescent="0.2">
      <c r="A238" s="4"/>
      <c r="B238" s="98"/>
      <c r="C238" s="99"/>
      <c r="D238" s="4"/>
      <c r="E238" s="110"/>
      <c r="F238" s="4"/>
      <c r="G238" s="4"/>
      <c r="H238" s="4"/>
      <c r="I238" s="4"/>
      <c r="J238" s="4"/>
      <c r="K238" s="4"/>
    </row>
    <row r="239" spans="1:11" ht="16" customHeight="1" x14ac:dyDescent="0.2">
      <c r="A239" s="4"/>
      <c r="B239" s="98"/>
      <c r="C239" s="99"/>
      <c r="D239" s="4"/>
      <c r="E239" s="110"/>
      <c r="F239" s="4"/>
      <c r="G239" s="4"/>
      <c r="H239" s="4"/>
      <c r="I239" s="4"/>
      <c r="J239" s="4"/>
      <c r="K239" s="4"/>
    </row>
  </sheetData>
  <mergeCells count="2">
    <mergeCell ref="B39:D41"/>
    <mergeCell ref="A1:E1"/>
  </mergeCells>
  <hyperlinks>
    <hyperlink ref="D4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  <hyperlink ref="E8" r:id="rId6" xr:uid="{00000000-0004-0000-0100-000005000000}"/>
    <hyperlink ref="E10" r:id="rId7" xr:uid="{00000000-0004-0000-0100-000006000000}"/>
    <hyperlink ref="E11" r:id="rId8" xr:uid="{00000000-0004-0000-0100-000007000000}"/>
    <hyperlink ref="E12" r:id="rId9" xr:uid="{00000000-0004-0000-0100-000008000000}"/>
    <hyperlink ref="E13" r:id="rId10" xr:uid="{00000000-0004-0000-0100-000009000000}"/>
    <hyperlink ref="E14" r:id="rId11" xr:uid="{00000000-0004-0000-0100-00000A000000}"/>
    <hyperlink ref="E15" r:id="rId12" xr:uid="{00000000-0004-0000-0100-00000B000000}"/>
    <hyperlink ref="E16" r:id="rId13" xr:uid="{00000000-0004-0000-0100-00000C000000}"/>
    <hyperlink ref="E18" r:id="rId14" xr:uid="{00000000-0004-0000-0100-00000D000000}"/>
    <hyperlink ref="E19" r:id="rId15" xr:uid="{00000000-0004-0000-0100-00000E000000}"/>
    <hyperlink ref="D21" r:id="rId16" xr:uid="{00000000-0004-0000-0100-00000F000000}"/>
    <hyperlink ref="E21" r:id="rId17" xr:uid="{00000000-0004-0000-0100-000010000000}"/>
    <hyperlink ref="E23" r:id="rId18" xr:uid="{00000000-0004-0000-0100-000011000000}"/>
    <hyperlink ref="E24" r:id="rId19" xr:uid="{00000000-0004-0000-0100-000012000000}"/>
    <hyperlink ref="D25" r:id="rId20" xr:uid="{00000000-0004-0000-0100-000013000000}"/>
    <hyperlink ref="E25" r:id="rId21" xr:uid="{00000000-0004-0000-0100-000014000000}"/>
    <hyperlink ref="E26" r:id="rId22" xr:uid="{00000000-0004-0000-0100-000015000000}"/>
    <hyperlink ref="E27" r:id="rId23" xr:uid="{00000000-0004-0000-0100-000016000000}"/>
    <hyperlink ref="E28" r:id="rId24" xr:uid="{00000000-0004-0000-0100-000017000000}"/>
    <hyperlink ref="E29" r:id="rId25" xr:uid="{00000000-0004-0000-0100-000018000000}"/>
    <hyperlink ref="E30" r:id="rId26" xr:uid="{00000000-0004-0000-0100-000019000000}"/>
    <hyperlink ref="E32" r:id="rId27" xr:uid="{00000000-0004-0000-0100-00001A000000}"/>
    <hyperlink ref="D33" r:id="rId28" xr:uid="{00000000-0004-0000-0100-00001B000000}"/>
    <hyperlink ref="E33" r:id="rId29" xr:uid="{00000000-0004-0000-0100-00001C000000}"/>
    <hyperlink ref="E34" r:id="rId30" xr:uid="{00000000-0004-0000-0100-00001D000000}"/>
    <hyperlink ref="E35" r:id="rId31" xr:uid="{00000000-0004-0000-0100-00001E000000}"/>
    <hyperlink ref="E36" r:id="rId32" xr:uid="{00000000-0004-0000-0100-00001F000000}"/>
  </hyperlinks>
  <pageMargins left="0.7" right="0.7" top="0.75" bottom="0.75" header="0.3" footer="0.3"/>
  <pageSetup paperSize="9" scale="45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D1001"/>
  <sheetViews>
    <sheetView workbookViewId="0">
      <selection activeCell="E8" sqref="E8"/>
    </sheetView>
  </sheetViews>
  <sheetFormatPr baseColWidth="10" defaultColWidth="12.6640625" defaultRowHeight="15" customHeight="1" x14ac:dyDescent="0.15"/>
  <cols>
    <col min="1" max="1" width="19.1640625" style="3" customWidth="1"/>
    <col min="2" max="2" width="5.83203125" style="3" customWidth="1"/>
    <col min="3" max="5" width="12.6640625" style="3" customWidth="1"/>
    <col min="6" max="16384" width="12.6640625" style="3"/>
  </cols>
  <sheetData>
    <row r="1" spans="1:4" s="74" customFormat="1" ht="64" customHeight="1" x14ac:dyDescent="0.15">
      <c r="A1" s="195" t="s">
        <v>138</v>
      </c>
      <c r="B1" s="196"/>
    </row>
    <row r="2" spans="1:4" ht="15.75" customHeight="1" x14ac:dyDescent="0.2">
      <c r="A2" s="71" t="s">
        <v>139</v>
      </c>
      <c r="B2" s="72" t="s">
        <v>140</v>
      </c>
      <c r="C2" s="67"/>
      <c r="D2" s="67"/>
    </row>
    <row r="3" spans="1:4" ht="15.75" customHeight="1" x14ac:dyDescent="0.2">
      <c r="A3" s="69" t="s">
        <v>141</v>
      </c>
      <c r="B3" s="70">
        <v>2</v>
      </c>
      <c r="C3" s="67"/>
      <c r="D3" s="67"/>
    </row>
    <row r="4" spans="1:4" ht="15.75" customHeight="1" x14ac:dyDescent="0.2">
      <c r="A4" s="69" t="s">
        <v>142</v>
      </c>
      <c r="B4" s="70">
        <v>2</v>
      </c>
      <c r="C4" s="67"/>
      <c r="D4" s="67"/>
    </row>
    <row r="5" spans="1:4" ht="15.75" customHeight="1" x14ac:dyDescent="0.2">
      <c r="A5" s="69"/>
      <c r="B5" s="70"/>
      <c r="C5" s="67"/>
      <c r="D5" s="67"/>
    </row>
    <row r="6" spans="1:4" ht="15.75" customHeight="1" x14ac:dyDescent="0.2">
      <c r="A6" s="71" t="s">
        <v>143</v>
      </c>
      <c r="B6" s="73"/>
      <c r="C6" s="67"/>
      <c r="D6" s="67"/>
    </row>
    <row r="7" spans="1:4" ht="15.75" customHeight="1" x14ac:dyDescent="0.2">
      <c r="A7" s="69" t="s">
        <v>144</v>
      </c>
      <c r="B7" s="70">
        <v>2</v>
      </c>
      <c r="C7" s="67"/>
      <c r="D7" s="67"/>
    </row>
    <row r="8" spans="1:4" ht="15.75" customHeight="1" x14ac:dyDescent="0.2">
      <c r="A8" s="69"/>
      <c r="B8" s="70"/>
      <c r="C8" s="67"/>
      <c r="D8" s="67"/>
    </row>
    <row r="9" spans="1:4" ht="15.75" customHeight="1" x14ac:dyDescent="0.2">
      <c r="A9" s="71" t="s">
        <v>145</v>
      </c>
      <c r="B9" s="73"/>
      <c r="C9" s="67"/>
      <c r="D9" s="67"/>
    </row>
    <row r="10" spans="1:4" ht="15.75" customHeight="1" x14ac:dyDescent="0.2">
      <c r="A10" s="69" t="s">
        <v>146</v>
      </c>
      <c r="B10" s="70">
        <v>4</v>
      </c>
      <c r="C10" s="67"/>
      <c r="D10" s="67"/>
    </row>
    <row r="11" spans="1:4" ht="15.75" customHeight="1" x14ac:dyDescent="0.2">
      <c r="A11" s="69" t="s">
        <v>142</v>
      </c>
      <c r="B11" s="70">
        <v>4</v>
      </c>
      <c r="C11" s="67"/>
      <c r="D11" s="67"/>
    </row>
    <row r="12" spans="1:4" ht="15.75" customHeight="1" x14ac:dyDescent="0.2">
      <c r="A12" s="69"/>
      <c r="B12" s="70"/>
      <c r="C12" s="67"/>
      <c r="D12" s="67"/>
    </row>
    <row r="13" spans="1:4" ht="15.75" customHeight="1" x14ac:dyDescent="0.2">
      <c r="A13" s="71" t="s">
        <v>147</v>
      </c>
      <c r="B13" s="73"/>
      <c r="C13" s="67"/>
      <c r="D13" s="67"/>
    </row>
    <row r="14" spans="1:4" ht="15.75" customHeight="1" x14ac:dyDescent="0.2">
      <c r="A14" s="69" t="s">
        <v>142</v>
      </c>
      <c r="B14" s="70">
        <v>4</v>
      </c>
      <c r="C14" s="67"/>
      <c r="D14" s="67"/>
    </row>
    <row r="15" spans="1:4" ht="15.75" customHeight="1" x14ac:dyDescent="0.2">
      <c r="A15" s="69"/>
      <c r="B15" s="70"/>
      <c r="C15" s="67"/>
      <c r="D15" s="67"/>
    </row>
    <row r="16" spans="1:4" ht="15.75" customHeight="1" x14ac:dyDescent="0.2">
      <c r="A16" s="71" t="s">
        <v>148</v>
      </c>
      <c r="B16" s="73"/>
      <c r="C16" s="67"/>
      <c r="D16" s="67"/>
    </row>
    <row r="17" spans="1:4" ht="15.75" customHeight="1" x14ac:dyDescent="0.2">
      <c r="A17" s="69" t="s">
        <v>149</v>
      </c>
      <c r="B17" s="70">
        <v>4</v>
      </c>
      <c r="C17" s="67"/>
      <c r="D17" s="67"/>
    </row>
    <row r="18" spans="1:4" ht="15.75" customHeight="1" x14ac:dyDescent="0.2">
      <c r="A18" s="69" t="s">
        <v>142</v>
      </c>
      <c r="B18" s="70">
        <v>8</v>
      </c>
      <c r="C18" s="67"/>
      <c r="D18" s="67"/>
    </row>
    <row r="19" spans="1:4" ht="15.75" customHeight="1" x14ac:dyDescent="0.2">
      <c r="A19" s="69" t="s">
        <v>150</v>
      </c>
      <c r="B19" s="70">
        <v>2</v>
      </c>
      <c r="C19" s="67"/>
      <c r="D19" s="67"/>
    </row>
    <row r="20" spans="1:4" ht="15.75" customHeight="1" x14ac:dyDescent="0.2">
      <c r="A20" s="69" t="s">
        <v>142</v>
      </c>
      <c r="B20" s="70">
        <v>2</v>
      </c>
      <c r="C20" s="67"/>
      <c r="D20" s="67"/>
    </row>
    <row r="21" spans="1:4" ht="15.75" customHeight="1" x14ac:dyDescent="0.2">
      <c r="A21" s="67"/>
      <c r="B21" s="68"/>
      <c r="C21" s="67"/>
      <c r="D21" s="67"/>
    </row>
    <row r="22" spans="1:4" ht="15.75" customHeight="1" x14ac:dyDescent="0.2">
      <c r="A22" s="67"/>
      <c r="B22" s="68"/>
      <c r="C22" s="67"/>
      <c r="D22" s="67"/>
    </row>
    <row r="23" spans="1:4" ht="15.75" customHeight="1" x14ac:dyDescent="0.2">
      <c r="A23" s="67"/>
      <c r="B23" s="68"/>
      <c r="C23" s="67"/>
      <c r="D23" s="67"/>
    </row>
    <row r="24" spans="1:4" ht="15.75" customHeight="1" x14ac:dyDescent="0.2">
      <c r="A24" s="67"/>
      <c r="B24" s="68"/>
      <c r="C24" s="67"/>
      <c r="D24" s="67"/>
    </row>
    <row r="25" spans="1:4" ht="15.75" customHeight="1" x14ac:dyDescent="0.2">
      <c r="A25" s="67"/>
      <c r="B25" s="68"/>
      <c r="C25" s="67"/>
      <c r="D25" s="67"/>
    </row>
    <row r="26" spans="1:4" ht="15.75" customHeight="1" x14ac:dyDescent="0.2">
      <c r="A26" s="67"/>
      <c r="B26" s="68"/>
      <c r="C26" s="67"/>
      <c r="D26" s="67"/>
    </row>
    <row r="27" spans="1:4" ht="15.75" customHeight="1" x14ac:dyDescent="0.15">
      <c r="B27" s="1"/>
    </row>
    <row r="28" spans="1:4" ht="15.75" customHeight="1" x14ac:dyDescent="0.15">
      <c r="B28" s="1"/>
    </row>
    <row r="29" spans="1:4" ht="15.75" customHeight="1" x14ac:dyDescent="0.15">
      <c r="B29" s="1"/>
    </row>
    <row r="30" spans="1:4" ht="15.75" customHeight="1" x14ac:dyDescent="0.15">
      <c r="B30" s="1"/>
    </row>
    <row r="31" spans="1:4" ht="15.75" customHeight="1" x14ac:dyDescent="0.15">
      <c r="B31" s="1"/>
    </row>
    <row r="32" spans="1:4" ht="15.75" customHeight="1" x14ac:dyDescent="0.15">
      <c r="B32" s="1"/>
    </row>
    <row r="33" spans="2:2" ht="15.75" customHeight="1" x14ac:dyDescent="0.15">
      <c r="B33" s="1"/>
    </row>
    <row r="34" spans="2:2" ht="15.75" customHeight="1" x14ac:dyDescent="0.15">
      <c r="B34" s="1"/>
    </row>
    <row r="35" spans="2:2" ht="15.75" customHeight="1" x14ac:dyDescent="0.15">
      <c r="B35" s="1"/>
    </row>
    <row r="36" spans="2:2" ht="15.75" customHeight="1" x14ac:dyDescent="0.15">
      <c r="B36" s="1"/>
    </row>
    <row r="37" spans="2:2" ht="15.75" customHeight="1" x14ac:dyDescent="0.15">
      <c r="B37" s="1"/>
    </row>
    <row r="38" spans="2:2" ht="15.75" customHeight="1" x14ac:dyDescent="0.15">
      <c r="B38" s="1"/>
    </row>
    <row r="39" spans="2:2" ht="15.75" customHeight="1" x14ac:dyDescent="0.15">
      <c r="B39" s="1"/>
    </row>
    <row r="40" spans="2:2" ht="15.75" customHeight="1" x14ac:dyDescent="0.15">
      <c r="B40" s="1"/>
    </row>
    <row r="41" spans="2:2" ht="15.75" customHeight="1" x14ac:dyDescent="0.15">
      <c r="B41" s="1"/>
    </row>
    <row r="42" spans="2:2" ht="15.75" customHeight="1" x14ac:dyDescent="0.15">
      <c r="B42" s="1"/>
    </row>
    <row r="43" spans="2:2" ht="15.75" customHeight="1" x14ac:dyDescent="0.15">
      <c r="B43" s="1"/>
    </row>
    <row r="44" spans="2:2" ht="15.75" customHeight="1" x14ac:dyDescent="0.15">
      <c r="B44" s="1"/>
    </row>
    <row r="45" spans="2:2" ht="15.75" customHeight="1" x14ac:dyDescent="0.15">
      <c r="B45" s="1"/>
    </row>
    <row r="46" spans="2:2" ht="15.75" customHeight="1" x14ac:dyDescent="0.15">
      <c r="B46" s="1"/>
    </row>
    <row r="47" spans="2:2" ht="15.75" customHeight="1" x14ac:dyDescent="0.15">
      <c r="B47" s="1"/>
    </row>
    <row r="48" spans="2:2" ht="15.75" customHeight="1" x14ac:dyDescent="0.15">
      <c r="B48" s="1"/>
    </row>
    <row r="49" spans="2:2" ht="15.75" customHeight="1" x14ac:dyDescent="0.15">
      <c r="B49" s="1"/>
    </row>
    <row r="50" spans="2:2" ht="15.75" customHeight="1" x14ac:dyDescent="0.15">
      <c r="B50" s="1"/>
    </row>
    <row r="51" spans="2:2" ht="15.75" customHeight="1" x14ac:dyDescent="0.15">
      <c r="B51" s="1"/>
    </row>
    <row r="52" spans="2:2" ht="15.75" customHeight="1" x14ac:dyDescent="0.15">
      <c r="B52" s="1"/>
    </row>
    <row r="53" spans="2:2" ht="15.75" customHeight="1" x14ac:dyDescent="0.15">
      <c r="B53" s="1"/>
    </row>
    <row r="54" spans="2:2" ht="15.75" customHeight="1" x14ac:dyDescent="0.15">
      <c r="B54" s="1"/>
    </row>
    <row r="55" spans="2:2" ht="15.75" customHeight="1" x14ac:dyDescent="0.15">
      <c r="B55" s="1"/>
    </row>
    <row r="56" spans="2:2" ht="15.75" customHeight="1" x14ac:dyDescent="0.15">
      <c r="B56" s="1"/>
    </row>
    <row r="57" spans="2:2" ht="15.75" customHeight="1" x14ac:dyDescent="0.15">
      <c r="B57" s="1"/>
    </row>
    <row r="58" spans="2:2" ht="15.75" customHeight="1" x14ac:dyDescent="0.15">
      <c r="B58" s="1"/>
    </row>
    <row r="59" spans="2:2" ht="15.75" customHeight="1" x14ac:dyDescent="0.15">
      <c r="B59" s="1"/>
    </row>
    <row r="60" spans="2:2" ht="15.75" customHeight="1" x14ac:dyDescent="0.15">
      <c r="B60" s="1"/>
    </row>
    <row r="61" spans="2:2" ht="15.75" customHeight="1" x14ac:dyDescent="0.15">
      <c r="B61" s="1"/>
    </row>
    <row r="62" spans="2:2" ht="15.75" customHeight="1" x14ac:dyDescent="0.15">
      <c r="B62" s="1"/>
    </row>
    <row r="63" spans="2:2" ht="15.75" customHeight="1" x14ac:dyDescent="0.15">
      <c r="B63" s="1"/>
    </row>
    <row r="64" spans="2:2" ht="15.75" customHeight="1" x14ac:dyDescent="0.15">
      <c r="B64" s="1"/>
    </row>
    <row r="65" spans="2:2" ht="15.75" customHeight="1" x14ac:dyDescent="0.15">
      <c r="B65" s="1"/>
    </row>
    <row r="66" spans="2:2" ht="15.75" customHeight="1" x14ac:dyDescent="0.15">
      <c r="B66" s="1"/>
    </row>
    <row r="67" spans="2:2" ht="15.75" customHeight="1" x14ac:dyDescent="0.15">
      <c r="B67" s="1"/>
    </row>
    <row r="68" spans="2:2" ht="15.75" customHeight="1" x14ac:dyDescent="0.15">
      <c r="B68" s="1"/>
    </row>
    <row r="69" spans="2:2" ht="15.75" customHeight="1" x14ac:dyDescent="0.15">
      <c r="B69" s="1"/>
    </row>
    <row r="70" spans="2:2" ht="15.75" customHeight="1" x14ac:dyDescent="0.15">
      <c r="B70" s="1"/>
    </row>
    <row r="71" spans="2:2" ht="15.75" customHeight="1" x14ac:dyDescent="0.15">
      <c r="B71" s="1"/>
    </row>
    <row r="72" spans="2:2" ht="15.75" customHeight="1" x14ac:dyDescent="0.15">
      <c r="B72" s="1"/>
    </row>
    <row r="73" spans="2:2" ht="15.75" customHeight="1" x14ac:dyDescent="0.15">
      <c r="B73" s="1"/>
    </row>
    <row r="74" spans="2:2" ht="15.75" customHeight="1" x14ac:dyDescent="0.15">
      <c r="B74" s="1"/>
    </row>
    <row r="75" spans="2:2" ht="15.75" customHeight="1" x14ac:dyDescent="0.15">
      <c r="B75" s="1"/>
    </row>
    <row r="76" spans="2:2" ht="15.75" customHeight="1" x14ac:dyDescent="0.15">
      <c r="B76" s="1"/>
    </row>
    <row r="77" spans="2:2" ht="15.75" customHeight="1" x14ac:dyDescent="0.15">
      <c r="B77" s="1"/>
    </row>
    <row r="78" spans="2:2" ht="15.75" customHeight="1" x14ac:dyDescent="0.15">
      <c r="B78" s="1"/>
    </row>
    <row r="79" spans="2:2" ht="15.75" customHeight="1" x14ac:dyDescent="0.15">
      <c r="B79" s="1"/>
    </row>
    <row r="80" spans="2:2" ht="15.75" customHeight="1" x14ac:dyDescent="0.15">
      <c r="B80" s="1"/>
    </row>
    <row r="81" spans="2:2" ht="15.75" customHeight="1" x14ac:dyDescent="0.15">
      <c r="B81" s="1"/>
    </row>
    <row r="82" spans="2:2" ht="15.75" customHeight="1" x14ac:dyDescent="0.15">
      <c r="B82" s="1"/>
    </row>
    <row r="83" spans="2:2" ht="15.75" customHeight="1" x14ac:dyDescent="0.15">
      <c r="B83" s="1"/>
    </row>
    <row r="84" spans="2:2" ht="15.75" customHeight="1" x14ac:dyDescent="0.15">
      <c r="B84" s="1"/>
    </row>
    <row r="85" spans="2:2" ht="15.75" customHeight="1" x14ac:dyDescent="0.15">
      <c r="B85" s="1"/>
    </row>
    <row r="86" spans="2:2" ht="15.75" customHeight="1" x14ac:dyDescent="0.15">
      <c r="B86" s="1"/>
    </row>
    <row r="87" spans="2:2" ht="15.75" customHeight="1" x14ac:dyDescent="0.15">
      <c r="B87" s="1"/>
    </row>
    <row r="88" spans="2:2" ht="15.75" customHeight="1" x14ac:dyDescent="0.15">
      <c r="B88" s="1"/>
    </row>
    <row r="89" spans="2:2" ht="15.75" customHeight="1" x14ac:dyDescent="0.15">
      <c r="B89" s="1"/>
    </row>
    <row r="90" spans="2:2" ht="15.75" customHeight="1" x14ac:dyDescent="0.15">
      <c r="B90" s="1"/>
    </row>
    <row r="91" spans="2:2" ht="15.75" customHeight="1" x14ac:dyDescent="0.15">
      <c r="B91" s="1"/>
    </row>
    <row r="92" spans="2:2" ht="15.75" customHeight="1" x14ac:dyDescent="0.15">
      <c r="B92" s="1"/>
    </row>
    <row r="93" spans="2:2" ht="15.75" customHeight="1" x14ac:dyDescent="0.15">
      <c r="B93" s="1"/>
    </row>
    <row r="94" spans="2:2" ht="15.75" customHeight="1" x14ac:dyDescent="0.15">
      <c r="B94" s="1"/>
    </row>
    <row r="95" spans="2:2" ht="15.75" customHeight="1" x14ac:dyDescent="0.15">
      <c r="B95" s="1"/>
    </row>
    <row r="96" spans="2:2" ht="15.75" customHeight="1" x14ac:dyDescent="0.15">
      <c r="B96" s="1"/>
    </row>
    <row r="97" spans="2:2" ht="15.75" customHeight="1" x14ac:dyDescent="0.15">
      <c r="B97" s="1"/>
    </row>
    <row r="98" spans="2:2" ht="15.75" customHeight="1" x14ac:dyDescent="0.15">
      <c r="B98" s="1"/>
    </row>
    <row r="99" spans="2:2" ht="15.75" customHeight="1" x14ac:dyDescent="0.15">
      <c r="B99" s="1"/>
    </row>
    <row r="100" spans="2:2" ht="15.75" customHeight="1" x14ac:dyDescent="0.15">
      <c r="B100" s="1"/>
    </row>
    <row r="101" spans="2:2" ht="15.75" customHeight="1" x14ac:dyDescent="0.15">
      <c r="B101" s="1"/>
    </row>
    <row r="102" spans="2:2" ht="15.75" customHeight="1" x14ac:dyDescent="0.15">
      <c r="B102" s="1"/>
    </row>
    <row r="103" spans="2:2" ht="15.75" customHeight="1" x14ac:dyDescent="0.15">
      <c r="B103" s="1"/>
    </row>
    <row r="104" spans="2:2" ht="15.75" customHeight="1" x14ac:dyDescent="0.15">
      <c r="B104" s="1"/>
    </row>
    <row r="105" spans="2:2" ht="15.75" customHeight="1" x14ac:dyDescent="0.15">
      <c r="B105" s="1"/>
    </row>
    <row r="106" spans="2:2" ht="15.75" customHeight="1" x14ac:dyDescent="0.15">
      <c r="B106" s="1"/>
    </row>
    <row r="107" spans="2:2" ht="15.75" customHeight="1" x14ac:dyDescent="0.15">
      <c r="B107" s="1"/>
    </row>
    <row r="108" spans="2:2" ht="15.75" customHeight="1" x14ac:dyDescent="0.15">
      <c r="B108" s="1"/>
    </row>
    <row r="109" spans="2:2" ht="15.75" customHeight="1" x14ac:dyDescent="0.15">
      <c r="B109" s="1"/>
    </row>
    <row r="110" spans="2:2" ht="15.75" customHeight="1" x14ac:dyDescent="0.15">
      <c r="B110" s="1"/>
    </row>
    <row r="111" spans="2:2" ht="15.75" customHeight="1" x14ac:dyDescent="0.15">
      <c r="B111" s="1"/>
    </row>
    <row r="112" spans="2:2" ht="15.75" customHeight="1" x14ac:dyDescent="0.15">
      <c r="B112" s="1"/>
    </row>
    <row r="113" spans="2:2" ht="15.75" customHeight="1" x14ac:dyDescent="0.15">
      <c r="B113" s="1"/>
    </row>
    <row r="114" spans="2:2" ht="15.75" customHeight="1" x14ac:dyDescent="0.15">
      <c r="B114" s="1"/>
    </row>
    <row r="115" spans="2:2" ht="15.75" customHeight="1" x14ac:dyDescent="0.15">
      <c r="B115" s="1"/>
    </row>
    <row r="116" spans="2:2" ht="15.75" customHeight="1" x14ac:dyDescent="0.15">
      <c r="B116" s="1"/>
    </row>
    <row r="117" spans="2:2" ht="15.75" customHeight="1" x14ac:dyDescent="0.15">
      <c r="B117" s="1"/>
    </row>
    <row r="118" spans="2:2" ht="15.75" customHeight="1" x14ac:dyDescent="0.15">
      <c r="B118" s="1"/>
    </row>
    <row r="119" spans="2:2" ht="15.75" customHeight="1" x14ac:dyDescent="0.15">
      <c r="B119" s="1"/>
    </row>
    <row r="120" spans="2:2" ht="15.75" customHeight="1" x14ac:dyDescent="0.15">
      <c r="B120" s="1"/>
    </row>
    <row r="121" spans="2:2" ht="15.75" customHeight="1" x14ac:dyDescent="0.15">
      <c r="B121" s="1"/>
    </row>
    <row r="122" spans="2:2" ht="15.75" customHeight="1" x14ac:dyDescent="0.15">
      <c r="B122" s="1"/>
    </row>
    <row r="123" spans="2:2" ht="15.75" customHeight="1" x14ac:dyDescent="0.15">
      <c r="B123" s="1"/>
    </row>
    <row r="124" spans="2:2" ht="15.75" customHeight="1" x14ac:dyDescent="0.15">
      <c r="B124" s="1"/>
    </row>
    <row r="125" spans="2:2" ht="15.75" customHeight="1" x14ac:dyDescent="0.15">
      <c r="B125" s="1"/>
    </row>
    <row r="126" spans="2:2" ht="15.75" customHeight="1" x14ac:dyDescent="0.15">
      <c r="B126" s="1"/>
    </row>
    <row r="127" spans="2:2" ht="15.75" customHeight="1" x14ac:dyDescent="0.15">
      <c r="B127" s="1"/>
    </row>
    <row r="128" spans="2:2" ht="15.75" customHeight="1" x14ac:dyDescent="0.15">
      <c r="B128" s="1"/>
    </row>
    <row r="129" spans="2:2" ht="15.75" customHeight="1" x14ac:dyDescent="0.15">
      <c r="B129" s="1"/>
    </row>
    <row r="130" spans="2:2" ht="15.75" customHeight="1" x14ac:dyDescent="0.15">
      <c r="B130" s="1"/>
    </row>
    <row r="131" spans="2:2" ht="15.75" customHeight="1" x14ac:dyDescent="0.15">
      <c r="B131" s="1"/>
    </row>
    <row r="132" spans="2:2" ht="15.75" customHeight="1" x14ac:dyDescent="0.15">
      <c r="B132" s="1"/>
    </row>
    <row r="133" spans="2:2" ht="15.75" customHeight="1" x14ac:dyDescent="0.15">
      <c r="B133" s="1"/>
    </row>
    <row r="134" spans="2:2" ht="15.75" customHeight="1" x14ac:dyDescent="0.15">
      <c r="B134" s="1"/>
    </row>
    <row r="135" spans="2:2" ht="15.75" customHeight="1" x14ac:dyDescent="0.15">
      <c r="B135" s="1"/>
    </row>
    <row r="136" spans="2:2" ht="15.75" customHeight="1" x14ac:dyDescent="0.15">
      <c r="B136" s="1"/>
    </row>
    <row r="137" spans="2:2" ht="15.75" customHeight="1" x14ac:dyDescent="0.15">
      <c r="B137" s="1"/>
    </row>
    <row r="138" spans="2:2" ht="15.75" customHeight="1" x14ac:dyDescent="0.15">
      <c r="B138" s="1"/>
    </row>
    <row r="139" spans="2:2" ht="15.75" customHeight="1" x14ac:dyDescent="0.15">
      <c r="B139" s="1"/>
    </row>
    <row r="140" spans="2:2" ht="15.75" customHeight="1" x14ac:dyDescent="0.15">
      <c r="B140" s="1"/>
    </row>
    <row r="141" spans="2:2" ht="15.75" customHeight="1" x14ac:dyDescent="0.15">
      <c r="B141" s="1"/>
    </row>
    <row r="142" spans="2:2" ht="15.75" customHeight="1" x14ac:dyDescent="0.15">
      <c r="B142" s="1"/>
    </row>
    <row r="143" spans="2:2" ht="15.75" customHeight="1" x14ac:dyDescent="0.15">
      <c r="B143" s="1"/>
    </row>
    <row r="144" spans="2:2" ht="15.75" customHeight="1" x14ac:dyDescent="0.15">
      <c r="B144" s="1"/>
    </row>
    <row r="145" spans="2:2" ht="15.75" customHeight="1" x14ac:dyDescent="0.15">
      <c r="B145" s="1"/>
    </row>
    <row r="146" spans="2:2" ht="15.75" customHeight="1" x14ac:dyDescent="0.15">
      <c r="B146" s="1"/>
    </row>
    <row r="147" spans="2:2" ht="15.75" customHeight="1" x14ac:dyDescent="0.15">
      <c r="B147" s="1"/>
    </row>
    <row r="148" spans="2:2" ht="15.75" customHeight="1" x14ac:dyDescent="0.15">
      <c r="B148" s="1"/>
    </row>
    <row r="149" spans="2:2" ht="15.75" customHeight="1" x14ac:dyDescent="0.15">
      <c r="B149" s="1"/>
    </row>
    <row r="150" spans="2:2" ht="15.75" customHeight="1" x14ac:dyDescent="0.15">
      <c r="B150" s="1"/>
    </row>
    <row r="151" spans="2:2" ht="15.75" customHeight="1" x14ac:dyDescent="0.15">
      <c r="B151" s="1"/>
    </row>
    <row r="152" spans="2:2" ht="15.75" customHeight="1" x14ac:dyDescent="0.15">
      <c r="B152" s="1"/>
    </row>
    <row r="153" spans="2:2" ht="15.75" customHeight="1" x14ac:dyDescent="0.15">
      <c r="B153" s="1"/>
    </row>
    <row r="154" spans="2:2" ht="15.75" customHeight="1" x14ac:dyDescent="0.15">
      <c r="B154" s="1"/>
    </row>
    <row r="155" spans="2:2" ht="15.75" customHeight="1" x14ac:dyDescent="0.15">
      <c r="B155" s="1"/>
    </row>
    <row r="156" spans="2:2" ht="15.75" customHeight="1" x14ac:dyDescent="0.15">
      <c r="B156" s="1"/>
    </row>
    <row r="157" spans="2:2" ht="15.75" customHeight="1" x14ac:dyDescent="0.15">
      <c r="B157" s="1"/>
    </row>
    <row r="158" spans="2:2" ht="15.75" customHeight="1" x14ac:dyDescent="0.15">
      <c r="B158" s="1"/>
    </row>
    <row r="159" spans="2:2" ht="15.75" customHeight="1" x14ac:dyDescent="0.15">
      <c r="B159" s="1"/>
    </row>
    <row r="160" spans="2:2" ht="15.75" customHeight="1" x14ac:dyDescent="0.15">
      <c r="B160" s="1"/>
    </row>
    <row r="161" spans="2:2" ht="15.75" customHeight="1" x14ac:dyDescent="0.15">
      <c r="B161" s="1"/>
    </row>
    <row r="162" spans="2:2" ht="15.75" customHeight="1" x14ac:dyDescent="0.15">
      <c r="B162" s="1"/>
    </row>
    <row r="163" spans="2:2" ht="15.75" customHeight="1" x14ac:dyDescent="0.15">
      <c r="B163" s="1"/>
    </row>
    <row r="164" spans="2:2" ht="15.75" customHeight="1" x14ac:dyDescent="0.15">
      <c r="B164" s="1"/>
    </row>
    <row r="165" spans="2:2" ht="15.75" customHeight="1" x14ac:dyDescent="0.15">
      <c r="B165" s="1"/>
    </row>
    <row r="166" spans="2:2" ht="15.75" customHeight="1" x14ac:dyDescent="0.15">
      <c r="B166" s="1"/>
    </row>
    <row r="167" spans="2:2" ht="15.75" customHeight="1" x14ac:dyDescent="0.15">
      <c r="B167" s="1"/>
    </row>
    <row r="168" spans="2:2" ht="15.75" customHeight="1" x14ac:dyDescent="0.15">
      <c r="B168" s="1"/>
    </row>
    <row r="169" spans="2:2" ht="15.75" customHeight="1" x14ac:dyDescent="0.15">
      <c r="B169" s="1"/>
    </row>
    <row r="170" spans="2:2" ht="15.75" customHeight="1" x14ac:dyDescent="0.15">
      <c r="B170" s="1"/>
    </row>
    <row r="171" spans="2:2" ht="15.75" customHeight="1" x14ac:dyDescent="0.15">
      <c r="B171" s="1"/>
    </row>
    <row r="172" spans="2:2" ht="15.75" customHeight="1" x14ac:dyDescent="0.15">
      <c r="B172" s="1"/>
    </row>
    <row r="173" spans="2:2" ht="15.75" customHeight="1" x14ac:dyDescent="0.15">
      <c r="B173" s="1"/>
    </row>
    <row r="174" spans="2:2" ht="15.75" customHeight="1" x14ac:dyDescent="0.15">
      <c r="B174" s="1"/>
    </row>
    <row r="175" spans="2:2" ht="15.75" customHeight="1" x14ac:dyDescent="0.15">
      <c r="B175" s="1"/>
    </row>
    <row r="176" spans="2:2" ht="15.75" customHeight="1" x14ac:dyDescent="0.15">
      <c r="B176" s="1"/>
    </row>
    <row r="177" spans="2:2" ht="15.75" customHeight="1" x14ac:dyDescent="0.15">
      <c r="B177" s="1"/>
    </row>
    <row r="178" spans="2:2" ht="15.75" customHeight="1" x14ac:dyDescent="0.15">
      <c r="B178" s="1"/>
    </row>
    <row r="179" spans="2:2" ht="15.75" customHeight="1" x14ac:dyDescent="0.15">
      <c r="B179" s="1"/>
    </row>
    <row r="180" spans="2:2" ht="15.75" customHeight="1" x14ac:dyDescent="0.15">
      <c r="B180" s="1"/>
    </row>
    <row r="181" spans="2:2" ht="15.75" customHeight="1" x14ac:dyDescent="0.15">
      <c r="B181" s="1"/>
    </row>
    <row r="182" spans="2:2" ht="15.75" customHeight="1" x14ac:dyDescent="0.15">
      <c r="B182" s="1"/>
    </row>
    <row r="183" spans="2:2" ht="15.75" customHeight="1" x14ac:dyDescent="0.15">
      <c r="B183" s="1"/>
    </row>
    <row r="184" spans="2:2" ht="15.75" customHeight="1" x14ac:dyDescent="0.15">
      <c r="B184" s="1"/>
    </row>
    <row r="185" spans="2:2" ht="15.75" customHeight="1" x14ac:dyDescent="0.15">
      <c r="B185" s="1"/>
    </row>
    <row r="186" spans="2:2" ht="15.75" customHeight="1" x14ac:dyDescent="0.15">
      <c r="B186" s="1"/>
    </row>
    <row r="187" spans="2:2" ht="15.75" customHeight="1" x14ac:dyDescent="0.15">
      <c r="B187" s="1"/>
    </row>
    <row r="188" spans="2:2" ht="15.75" customHeight="1" x14ac:dyDescent="0.15">
      <c r="B188" s="1"/>
    </row>
    <row r="189" spans="2:2" ht="15.75" customHeight="1" x14ac:dyDescent="0.15">
      <c r="B189" s="1"/>
    </row>
    <row r="190" spans="2:2" ht="15.75" customHeight="1" x14ac:dyDescent="0.15">
      <c r="B190" s="1"/>
    </row>
    <row r="191" spans="2:2" ht="15.75" customHeight="1" x14ac:dyDescent="0.15">
      <c r="B191" s="1"/>
    </row>
    <row r="192" spans="2:2" ht="15.75" customHeight="1" x14ac:dyDescent="0.15">
      <c r="B192" s="1"/>
    </row>
    <row r="193" spans="2:2" ht="15.75" customHeight="1" x14ac:dyDescent="0.15">
      <c r="B193" s="1"/>
    </row>
    <row r="194" spans="2:2" ht="15.75" customHeight="1" x14ac:dyDescent="0.15">
      <c r="B194" s="1"/>
    </row>
    <row r="195" spans="2:2" ht="15.75" customHeight="1" x14ac:dyDescent="0.15">
      <c r="B195" s="1"/>
    </row>
    <row r="196" spans="2:2" ht="15.75" customHeight="1" x14ac:dyDescent="0.15">
      <c r="B196" s="1"/>
    </row>
    <row r="197" spans="2:2" ht="15.75" customHeight="1" x14ac:dyDescent="0.15">
      <c r="B197" s="1"/>
    </row>
    <row r="198" spans="2:2" ht="15.75" customHeight="1" x14ac:dyDescent="0.15">
      <c r="B198" s="1"/>
    </row>
    <row r="199" spans="2:2" ht="15.75" customHeight="1" x14ac:dyDescent="0.15">
      <c r="B199" s="1"/>
    </row>
    <row r="200" spans="2:2" ht="15.75" customHeight="1" x14ac:dyDescent="0.15">
      <c r="B200" s="1"/>
    </row>
    <row r="201" spans="2:2" ht="15.75" customHeight="1" x14ac:dyDescent="0.15">
      <c r="B201" s="1"/>
    </row>
    <row r="202" spans="2:2" ht="15.75" customHeight="1" x14ac:dyDescent="0.15">
      <c r="B202" s="1"/>
    </row>
    <row r="203" spans="2:2" ht="15.75" customHeight="1" x14ac:dyDescent="0.15">
      <c r="B203" s="1"/>
    </row>
    <row r="204" spans="2:2" ht="15.75" customHeight="1" x14ac:dyDescent="0.15">
      <c r="B204" s="1"/>
    </row>
    <row r="205" spans="2:2" ht="15.75" customHeight="1" x14ac:dyDescent="0.15">
      <c r="B205" s="1"/>
    </row>
    <row r="206" spans="2:2" ht="15.75" customHeight="1" x14ac:dyDescent="0.15">
      <c r="B206" s="1"/>
    </row>
    <row r="207" spans="2:2" ht="15.75" customHeight="1" x14ac:dyDescent="0.15">
      <c r="B207" s="1"/>
    </row>
    <row r="208" spans="2:2" ht="15.75" customHeight="1" x14ac:dyDescent="0.15">
      <c r="B208" s="1"/>
    </row>
    <row r="209" spans="2:2" ht="15.75" customHeight="1" x14ac:dyDescent="0.15">
      <c r="B209" s="1"/>
    </row>
    <row r="210" spans="2:2" ht="15.75" customHeight="1" x14ac:dyDescent="0.15">
      <c r="B210" s="1"/>
    </row>
    <row r="211" spans="2:2" ht="15.75" customHeight="1" x14ac:dyDescent="0.15">
      <c r="B211" s="1"/>
    </row>
    <row r="212" spans="2:2" ht="15.75" customHeight="1" x14ac:dyDescent="0.15">
      <c r="B212" s="1"/>
    </row>
    <row r="213" spans="2:2" ht="15.75" customHeight="1" x14ac:dyDescent="0.15">
      <c r="B213" s="1"/>
    </row>
    <row r="214" spans="2:2" ht="15.75" customHeight="1" x14ac:dyDescent="0.15">
      <c r="B214" s="1"/>
    </row>
    <row r="215" spans="2:2" ht="15.75" customHeight="1" x14ac:dyDescent="0.15">
      <c r="B215" s="1"/>
    </row>
    <row r="216" spans="2:2" ht="15.75" customHeight="1" x14ac:dyDescent="0.15">
      <c r="B216" s="1"/>
    </row>
    <row r="217" spans="2:2" ht="15.75" customHeight="1" x14ac:dyDescent="0.15">
      <c r="B217" s="1"/>
    </row>
    <row r="218" spans="2:2" ht="15.75" customHeight="1" x14ac:dyDescent="0.15">
      <c r="B218" s="1"/>
    </row>
    <row r="219" spans="2:2" ht="15.75" customHeight="1" x14ac:dyDescent="0.15">
      <c r="B219" s="1"/>
    </row>
    <row r="220" spans="2:2" ht="15.75" customHeight="1" x14ac:dyDescent="0.15">
      <c r="B220" s="1"/>
    </row>
    <row r="221" spans="2:2" ht="15.75" customHeight="1" x14ac:dyDescent="0.15">
      <c r="B221" s="1"/>
    </row>
    <row r="222" spans="2:2" ht="15.75" customHeight="1" x14ac:dyDescent="0.15"/>
    <row r="223" spans="2:2" ht="15.75" customHeight="1" x14ac:dyDescent="0.15"/>
    <row r="224" spans="2:2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mergeCells count="1">
    <mergeCell ref="A1:B1"/>
  </mergeCells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D36"/>
  <sheetViews>
    <sheetView workbookViewId="0">
      <pane xSplit="1" topLeftCell="B1" activePane="topRight" state="frozen"/>
      <selection pane="topRight" sqref="A1:XFD1"/>
    </sheetView>
  </sheetViews>
  <sheetFormatPr baseColWidth="10" defaultColWidth="12.6640625" defaultRowHeight="13" x14ac:dyDescent="0.15"/>
  <cols>
    <col min="1" max="1" width="50" style="74" customWidth="1"/>
    <col min="2" max="2" width="4.33203125" style="74" customWidth="1"/>
    <col min="3" max="3" width="28.83203125" style="74" customWidth="1"/>
    <col min="4" max="4" width="160.33203125" style="74" customWidth="1"/>
    <col min="5" max="5" width="12.6640625" style="74" customWidth="1"/>
    <col min="6" max="16384" width="12.6640625" style="74"/>
  </cols>
  <sheetData>
    <row r="1" spans="1:4" ht="47" customHeight="1" x14ac:dyDescent="0.15">
      <c r="A1" s="197" t="s">
        <v>151</v>
      </c>
      <c r="B1" s="196"/>
      <c r="C1" s="196"/>
      <c r="D1" s="196"/>
    </row>
    <row r="2" spans="1:4" ht="23" customHeight="1" x14ac:dyDescent="0.2">
      <c r="A2" s="89"/>
      <c r="B2" s="90" t="s">
        <v>140</v>
      </c>
      <c r="C2" s="89" t="s">
        <v>6</v>
      </c>
      <c r="D2" s="91" t="s">
        <v>103</v>
      </c>
    </row>
    <row r="3" spans="1:4" ht="17" customHeight="1" x14ac:dyDescent="0.2">
      <c r="A3" s="92" t="s">
        <v>152</v>
      </c>
      <c r="B3" s="78"/>
      <c r="C3" s="78"/>
      <c r="D3" s="78"/>
    </row>
    <row r="4" spans="1:4" ht="17" customHeight="1" x14ac:dyDescent="0.2">
      <c r="A4" s="79" t="s">
        <v>153</v>
      </c>
      <c r="B4" s="80">
        <v>1</v>
      </c>
      <c r="C4" s="79"/>
      <c r="D4" s="81" t="s">
        <v>154</v>
      </c>
    </row>
    <row r="5" spans="1:4" ht="17" customHeight="1" x14ac:dyDescent="0.2">
      <c r="A5" s="79" t="s">
        <v>155</v>
      </c>
      <c r="B5" s="80">
        <v>1</v>
      </c>
      <c r="C5" s="79"/>
      <c r="D5" s="81" t="s">
        <v>154</v>
      </c>
    </row>
    <row r="6" spans="1:4" ht="17" customHeight="1" x14ac:dyDescent="0.2">
      <c r="A6" s="79" t="s">
        <v>156</v>
      </c>
      <c r="B6" s="80">
        <v>1</v>
      </c>
      <c r="C6" s="79"/>
      <c r="D6" s="81" t="s">
        <v>154</v>
      </c>
    </row>
    <row r="7" spans="1:4" ht="34" customHeight="1" x14ac:dyDescent="0.2">
      <c r="A7" s="79" t="s">
        <v>157</v>
      </c>
      <c r="B7" s="80">
        <v>0</v>
      </c>
      <c r="C7" s="79"/>
      <c r="D7" s="82" t="s">
        <v>158</v>
      </c>
    </row>
    <row r="8" spans="1:4" ht="17" customHeight="1" x14ac:dyDescent="0.2">
      <c r="A8" s="79" t="s">
        <v>159</v>
      </c>
      <c r="B8" s="80">
        <v>1</v>
      </c>
      <c r="C8" s="79"/>
      <c r="D8" s="82" t="s">
        <v>160</v>
      </c>
    </row>
    <row r="9" spans="1:4" ht="17" customHeight="1" x14ac:dyDescent="0.2">
      <c r="A9" s="79" t="s">
        <v>161</v>
      </c>
      <c r="B9" s="80">
        <v>1</v>
      </c>
      <c r="C9" s="79" t="s">
        <v>162</v>
      </c>
      <c r="D9" s="82" t="s">
        <v>163</v>
      </c>
    </row>
    <row r="10" spans="1:4" ht="16" customHeight="1" x14ac:dyDescent="0.2">
      <c r="A10" s="83"/>
      <c r="B10" s="80"/>
      <c r="C10" s="79"/>
      <c r="D10" s="81"/>
    </row>
    <row r="11" spans="1:4" ht="17" customHeight="1" x14ac:dyDescent="0.2">
      <c r="A11" s="79" t="s">
        <v>164</v>
      </c>
      <c r="B11" s="80">
        <v>1</v>
      </c>
      <c r="C11" s="79"/>
      <c r="D11" s="81"/>
    </row>
    <row r="12" spans="1:4" ht="34" customHeight="1" x14ac:dyDescent="0.2">
      <c r="A12" s="79" t="s">
        <v>165</v>
      </c>
      <c r="B12" s="80">
        <v>1</v>
      </c>
      <c r="C12" s="79" t="s">
        <v>166</v>
      </c>
      <c r="D12" s="81"/>
    </row>
    <row r="13" spans="1:4" ht="17" customHeight="1" x14ac:dyDescent="0.2">
      <c r="A13" s="93" t="s">
        <v>167</v>
      </c>
      <c r="B13" s="85"/>
      <c r="C13" s="84"/>
      <c r="D13" s="84"/>
    </row>
    <row r="14" spans="1:4" ht="40" customHeight="1" x14ac:dyDescent="0.2">
      <c r="A14" s="79" t="s">
        <v>168</v>
      </c>
      <c r="B14" s="76" t="s">
        <v>169</v>
      </c>
      <c r="C14" s="77"/>
      <c r="D14" s="86" t="s">
        <v>170</v>
      </c>
    </row>
    <row r="15" spans="1:4" ht="17" customHeight="1" x14ac:dyDescent="0.2">
      <c r="A15" s="81" t="s">
        <v>171</v>
      </c>
      <c r="B15" s="76" t="s">
        <v>169</v>
      </c>
      <c r="C15" s="77"/>
      <c r="D15" s="86" t="s">
        <v>172</v>
      </c>
    </row>
    <row r="16" spans="1:4" ht="17" customHeight="1" x14ac:dyDescent="0.2">
      <c r="A16" s="81" t="s">
        <v>173</v>
      </c>
      <c r="B16" s="76" t="s">
        <v>169</v>
      </c>
      <c r="C16" s="77"/>
      <c r="D16" s="86" t="s">
        <v>174</v>
      </c>
    </row>
    <row r="17" spans="1:4" ht="34" customHeight="1" x14ac:dyDescent="0.2">
      <c r="A17" s="81" t="s">
        <v>175</v>
      </c>
      <c r="B17" s="76">
        <v>1</v>
      </c>
      <c r="C17" s="87" t="s">
        <v>176</v>
      </c>
      <c r="D17" s="86" t="s">
        <v>177</v>
      </c>
    </row>
    <row r="18" spans="1:4" ht="17" customHeight="1" x14ac:dyDescent="0.2">
      <c r="A18" s="93" t="s">
        <v>178</v>
      </c>
      <c r="B18" s="85"/>
      <c r="C18" s="84"/>
      <c r="D18" s="84"/>
    </row>
    <row r="19" spans="1:4" ht="17" customHeight="1" x14ac:dyDescent="0.2">
      <c r="A19" s="79" t="s">
        <v>179</v>
      </c>
      <c r="B19" s="80">
        <v>1</v>
      </c>
      <c r="C19" s="79"/>
      <c r="D19" s="81"/>
    </row>
    <row r="20" spans="1:4" ht="17" customHeight="1" x14ac:dyDescent="0.2">
      <c r="A20" s="79" t="s">
        <v>180</v>
      </c>
      <c r="B20" s="80">
        <v>1</v>
      </c>
      <c r="C20" s="79"/>
      <c r="D20" s="81"/>
    </row>
    <row r="21" spans="1:4" ht="34" customHeight="1" x14ac:dyDescent="0.2">
      <c r="A21" s="79" t="s">
        <v>181</v>
      </c>
      <c r="B21" s="80">
        <v>1</v>
      </c>
      <c r="C21" s="79"/>
      <c r="D21" s="82" t="s">
        <v>182</v>
      </c>
    </row>
    <row r="22" spans="1:4" ht="68" customHeight="1" x14ac:dyDescent="0.2">
      <c r="A22" s="79" t="s">
        <v>183</v>
      </c>
      <c r="B22" s="80">
        <v>1</v>
      </c>
      <c r="C22" s="79"/>
      <c r="D22" s="82" t="s">
        <v>184</v>
      </c>
    </row>
    <row r="23" spans="1:4" ht="14" customHeight="1" x14ac:dyDescent="0.15">
      <c r="A23" s="94" t="s">
        <v>185</v>
      </c>
      <c r="B23" s="78"/>
      <c r="C23" s="78"/>
      <c r="D23" s="78"/>
    </row>
    <row r="24" spans="1:4" ht="14" customHeight="1" x14ac:dyDescent="0.15">
      <c r="A24" s="83" t="s">
        <v>186</v>
      </c>
      <c r="B24" s="83">
        <v>1</v>
      </c>
      <c r="C24" s="83"/>
      <c r="D24" s="88" t="s">
        <v>187</v>
      </c>
    </row>
    <row r="29" spans="1:4" x14ac:dyDescent="0.15">
      <c r="D29" s="75"/>
    </row>
    <row r="30" spans="1:4" x14ac:dyDescent="0.15">
      <c r="D30" s="75"/>
    </row>
    <row r="32" spans="1:4" x14ac:dyDescent="0.15">
      <c r="D32" s="75"/>
    </row>
    <row r="33" spans="4:4" x14ac:dyDescent="0.15">
      <c r="D33" s="75"/>
    </row>
    <row r="35" spans="4:4" x14ac:dyDescent="0.15">
      <c r="D35" s="75"/>
    </row>
    <row r="36" spans="4:4" x14ac:dyDescent="0.15">
      <c r="D36" s="75"/>
    </row>
  </sheetData>
  <mergeCells count="1">
    <mergeCell ref="A1:D1"/>
  </mergeCells>
  <hyperlinks>
    <hyperlink ref="D7" r:id="rId1" xr:uid="{00000000-0004-0000-0300-000000000000}"/>
    <hyperlink ref="D8" r:id="rId2" xr:uid="{00000000-0004-0000-0300-000001000000}"/>
    <hyperlink ref="D9" r:id="rId3" xr:uid="{00000000-0004-0000-0300-000002000000}"/>
    <hyperlink ref="D15" r:id="rId4" xr:uid="{00000000-0004-0000-0300-000003000000}"/>
    <hyperlink ref="D16" r:id="rId5" xr:uid="{00000000-0004-0000-0300-000004000000}"/>
    <hyperlink ref="C17" r:id="rId6" xr:uid="{00000000-0004-0000-0300-000005000000}"/>
    <hyperlink ref="D17" r:id="rId7" location="/126-software-free_download" xr:uid="{00000000-0004-0000-0300-000006000000}"/>
    <hyperlink ref="D21" r:id="rId8" xr:uid="{00000000-0004-0000-0300-000007000000}"/>
    <hyperlink ref="D22" r:id="rId9" xr:uid="{00000000-0004-0000-0300-000008000000}"/>
    <hyperlink ref="D24" r:id="rId10" xr:uid="{00000000-0004-0000-0300-000009000000}"/>
  </hyperlinks>
  <pageMargins left="0.7" right="0.7" top="0.75" bottom="0.75" header="0.3" footer="0.3"/>
  <pageSetup paperSize="9" scale="5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(POLIMI) Rally + Orin Nano v1</vt:lpstr>
      <vt:lpstr>(ORIGINAL) Rally + Orin Nano</vt:lpstr>
      <vt:lpstr>Fastener Breakdown</vt:lpstr>
      <vt:lpstr>ToolsPeripherals (DEPRECATED)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Tommaso Costantini</cp:lastModifiedBy>
  <dcterms:created xsi:type="dcterms:W3CDTF">2026-10-02T08:10:15Z</dcterms:created>
  <dcterms:modified xsi:type="dcterms:W3CDTF">2026-10-20T14:24:29Z</dcterms:modified>
</cp:coreProperties>
</file>