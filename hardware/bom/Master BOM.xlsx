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Volumes/POLI/Magistrale/21_ACAV/"/>
    </mc:Choice>
  </mc:AlternateContent>
  <xr:revisionPtr revIDLastSave="0" documentId="13_ncr:1_{5D9A925C-8DB8-7A4D-AB33-0F5D8035637C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(POLIMI) Rally + Orin Nano" sheetId="9" r:id="rId1"/>
    <sheet name="(ORIGINAL) Rally + Orin Nano" sheetId="1" r:id="rId2"/>
    <sheet name="ToolsPeripherals" sheetId="2" r:id="rId3"/>
    <sheet name="Fastener Breakdown" sheetId="3" r:id="rId4"/>
    <sheet name="(DEPRECATED) Powerboard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Aqw7ZZBVA4X4vUM1f56SnXgOPq/cqCsQ7jZ48ojGm4o="/>
    </ext>
  </extLst>
</workbook>
</file>

<file path=xl/calcChain.xml><?xml version="1.0" encoding="utf-8"?>
<calcChain xmlns="http://schemas.openxmlformats.org/spreadsheetml/2006/main">
  <c r="D26" i="9" l="1"/>
  <c r="D32" i="9"/>
  <c r="D22" i="9"/>
  <c r="D23" i="9"/>
  <c r="D24" i="9"/>
  <c r="D11" i="9"/>
  <c r="D10" i="9"/>
  <c r="D18" i="9"/>
  <c r="D17" i="9"/>
  <c r="D4" i="9"/>
  <c r="D5" i="9"/>
  <c r="D6" i="9"/>
  <c r="D7" i="9"/>
  <c r="D9" i="9"/>
  <c r="D13" i="9"/>
  <c r="D14" i="9"/>
  <c r="D15" i="9"/>
  <c r="D19" i="9"/>
  <c r="D21" i="9"/>
  <c r="D27" i="9"/>
  <c r="D28" i="9"/>
  <c r="D29" i="9"/>
  <c r="D30" i="9"/>
  <c r="D31" i="9"/>
  <c r="D33" i="9"/>
  <c r="D34" i="9"/>
  <c r="D36" i="9"/>
  <c r="D37" i="9"/>
  <c r="D38" i="9"/>
  <c r="D39" i="9"/>
  <c r="D40" i="9"/>
  <c r="D3" i="9"/>
  <c r="C36" i="1"/>
  <c r="D41" i="9" l="1"/>
</calcChain>
</file>

<file path=xl/sharedStrings.xml><?xml version="1.0" encoding="utf-8"?>
<sst xmlns="http://schemas.openxmlformats.org/spreadsheetml/2006/main" count="345" uniqueCount="224">
  <si>
    <t>Scroll right to see links</t>
  </si>
  <si>
    <t>Qty</t>
  </si>
  <si>
    <t>Qty.</t>
  </si>
  <si>
    <t>Cost per Unit</t>
  </si>
  <si>
    <t>Comments</t>
  </si>
  <si>
    <t>Link</t>
  </si>
  <si>
    <t>Chassis</t>
  </si>
  <si>
    <t>Tools</t>
  </si>
  <si>
    <r>
      <rPr>
        <sz val="12"/>
        <color rgb="FF000000"/>
        <rFont val="Arial"/>
        <family val="2"/>
      </rPr>
      <t xml:space="preserve">Traxxas Fiesta ST Rally </t>
    </r>
    <r>
      <rPr>
        <b/>
        <sz val="12"/>
        <color rgb="FF000000"/>
        <rFont val="Arial"/>
        <family val="2"/>
      </rPr>
      <t>VXL Edition</t>
    </r>
    <r>
      <rPr>
        <sz val="12"/>
        <color rgb="FF000000"/>
        <rFont val="Arial"/>
        <family val="2"/>
      </rPr>
      <t>; 1/10 Scale Brushless Pro 4WD</t>
    </r>
  </si>
  <si>
    <t>Metric ruler</t>
  </si>
  <si>
    <r>
      <rPr>
        <sz val="12"/>
        <color rgb="FF000000"/>
        <rFont val="Calibri"/>
        <family val="2"/>
      </rPr>
      <t xml:space="preserve">Slash 4x4 Ultimate also compatible with the platform deck, but is more expensive ($529.95): </t>
    </r>
    <r>
      <rPr>
        <u/>
        <sz val="12"/>
        <color rgb="FF1155CC"/>
        <rFont val="Calibri"/>
        <family val="2"/>
      </rPr>
      <t>https://traxxas.com/68277-4-slash-4x4-vxl-ultimate</t>
    </r>
    <r>
      <rPr>
        <sz val="12"/>
        <color rgb="FF000000"/>
        <rFont val="Calibri"/>
        <family val="2"/>
      </rPr>
      <t xml:space="preserve">                                                             Cheaper ($329.95) but weaker alternative (</t>
    </r>
    <r>
      <rPr>
        <u/>
        <sz val="12"/>
        <color rgb="FF1155CC"/>
        <rFont val="Calibri"/>
        <family val="2"/>
      </rPr>
      <t>https://a.co/d/0c9ZRLgj</t>
    </r>
    <r>
      <rPr>
        <sz val="12"/>
        <color rgb="FF000000"/>
        <rFont val="Calibri"/>
        <family val="2"/>
      </rPr>
      <t>)</t>
    </r>
  </si>
  <si>
    <t>local hardware store (faster than online)</t>
  </si>
  <si>
    <t>Needle-nose pliers</t>
  </si>
  <si>
    <t>https://traxxas.com/products/landing/fiesta-st-rally-vxl/</t>
  </si>
  <si>
    <t>2mm width or smaller flathead screwdriver</t>
  </si>
  <si>
    <t>screwdriver set</t>
  </si>
  <si>
    <t>2 Zee 3S LiPo Batteries (6000mAh)</t>
  </si>
  <si>
    <t>https://www.amazon.com/HORUSDY-100-Piece-Screwdriver-screwdriver-Electrician/dp/B07BT2VPTV/ref=sr_1_18?keywords=screwdriver+set&amp;qid=1547760416&amp;s=Home+Improvement&amp;sr=1-18</t>
  </si>
  <si>
    <t>Antenna mount</t>
  </si>
  <si>
    <t>https://a.co/d/07viD7OJ</t>
  </si>
  <si>
    <t>Comment</t>
  </si>
  <si>
    <t>LiPo Battery Charger (with EC5 Cable)</t>
  </si>
  <si>
    <t>45mm M3 standoff</t>
  </si>
  <si>
    <t>https://a.co/d/04M3SdSJ</t>
  </si>
  <si>
    <t>M3 x 8 screws</t>
  </si>
  <si>
    <t>Quantity</t>
  </si>
  <si>
    <t>Antenna Mount (3D print)</t>
  </si>
  <si>
    <t>Cost</t>
  </si>
  <si>
    <t>Files found in google drive</t>
  </si>
  <si>
    <t>https://drive.google.com/drive/folders/1sy-XiJJ4hmhEKf5qQbUaPYY6Aw-L31Gk?usp=drive_link</t>
  </si>
  <si>
    <t>Components</t>
  </si>
  <si>
    <t>VESC mount</t>
  </si>
  <si>
    <t>Digikey Part Number</t>
  </si>
  <si>
    <t>M5 x 20 screws</t>
  </si>
  <si>
    <t>Order Link</t>
  </si>
  <si>
    <t>adjustable wrench (to hold standoffs in place)</t>
  </si>
  <si>
    <t>https://www.hnstools.com/klein-tools-slim-jaw-adjustable-wrench-d86932/detail</t>
  </si>
  <si>
    <t>Platform Deck (lasercut)</t>
  </si>
  <si>
    <t>Fits Orin Nano or Xavier NX</t>
  </si>
  <si>
    <t>https://drive.google.com/drive/folders/1NU4FZzvMEGKCOFzDBvnjyePnnSMvsZPG?usp=drive_link</t>
  </si>
  <si>
    <t>T3 Torx screwdriver</t>
  </si>
  <si>
    <t>used to remove TX2</t>
  </si>
  <si>
    <t>https://www.ifixit.com/Store/Tools/T3-Torx-Screwdriver/IF145-041-2</t>
  </si>
  <si>
    <t>Power Board mount</t>
  </si>
  <si>
    <t>M3 x 20 screws</t>
  </si>
  <si>
    <t>Fasteners</t>
  </si>
  <si>
    <t>M3 Socket Head Kit</t>
  </si>
  <si>
    <t>https://a.co/d/0ePVll7A</t>
  </si>
  <si>
    <t>Power Board</t>
  </si>
  <si>
    <t>Lidar mount</t>
  </si>
  <si>
    <t>M5 Socket Head Kit</t>
  </si>
  <si>
    <t>You'll need 2 M5x20mm screws</t>
  </si>
  <si>
    <t>https://www.amazon.com/iExcell-Stainless-Socket-Screws-Assortment/dp/B07SBQ1JX5/ref=sr_1_5?crid=1NZXVWZG931FW&amp;keywords=m5+socket+head&amp;qid=1583273500&amp;s=industrial&amp;sprefix=m5+socket%2Cindustrial%2C134&amp;sr=1-5</t>
  </si>
  <si>
    <t>Wireless router</t>
  </si>
  <si>
    <t>https://tinyurl.com/f110powerboard2019</t>
  </si>
  <si>
    <t>Mounting Plate mount</t>
  </si>
  <si>
    <t>Double Sided Tape</t>
  </si>
  <si>
    <t>(for mounting USB hubs and optionally VESC)</t>
  </si>
  <si>
    <t>45 mm M3 standoffs</t>
  </si>
  <si>
    <t>6mm hex 14mm M3 standoffs</t>
  </si>
  <si>
    <t>https://www.mcmaster.com/94868A009</t>
  </si>
  <si>
    <t>Comes in packs of 3</t>
  </si>
  <si>
    <t>Track Material</t>
  </si>
  <si>
    <t>14 mm M3 standoffs</t>
  </si>
  <si>
    <t>560 ohm</t>
  </si>
  <si>
    <t>6mm hex 25mm M3 standoffs</t>
  </si>
  <si>
    <t>Air Duct Material (for creating a race Track)</t>
  </si>
  <si>
    <t>R1</t>
  </si>
  <si>
    <t>https://www.mcmaster.com/94868A013</t>
  </si>
  <si>
    <t>-</t>
  </si>
  <si>
    <t>‎CF14JT560RCT-ND‎</t>
  </si>
  <si>
    <t>https://www.vevor.com/flexible-duct-hosing-c_10371/vevor-25ft-pvc-flexible-duct-hosing-for-exhaust-fan-12inch-w-o-bag--p_010765231905</t>
  </si>
  <si>
    <t>6mm hex 45mm M3 standoffs</t>
  </si>
  <si>
    <t>Any resistor around 500 ohm should work</t>
  </si>
  <si>
    <t>https://www.mcmaster.com/94868A190</t>
  </si>
  <si>
    <t>0.33uF</t>
  </si>
  <si>
    <t xml:space="preserve">Laser cut the mounts </t>
  </si>
  <si>
    <t>C5</t>
  </si>
  <si>
    <t>‎445-181227-1-ND‎</t>
  </si>
  <si>
    <t>M2.5 x 0.45mm, 6mm long</t>
  </si>
  <si>
    <t>https://drive.google.com/drive/folders/1nt0ZO4beQ2dVvx_JtG515-q1HvWNrgP5?usp=sharing</t>
  </si>
  <si>
    <t>You'll only need 4 screws. This screw length is for a 0.12" platform deck. Adjust accordingly if you use a different platform deck thickness.</t>
  </si>
  <si>
    <t>https://www.mcmaster.com/94500A213/</t>
  </si>
  <si>
    <t>CAPACITOR, American symbol</t>
  </si>
  <si>
    <t>M2.5 x 0.45mm, 10mm long FF Standoffs</t>
  </si>
  <si>
    <t>https://www.mcmaster.com/95947A005/</t>
  </si>
  <si>
    <t>Video Material for set up the track</t>
  </si>
  <si>
    <t>0.1uF</t>
  </si>
  <si>
    <t>C6, C3, C4</t>
  </si>
  <si>
    <r>
      <rPr>
        <u/>
        <sz val="9"/>
        <color rgb="FF1155CC"/>
        <rFont val="verdana, sans-serif"/>
      </rPr>
      <t>https://www.dropbox.com/s/z07opm0f2e17y7y/F1-10%20pop-up%20racetrack.mp4?dl=0</t>
    </r>
    <r>
      <rPr>
        <sz val="9"/>
        <color rgb="FF000000"/>
        <rFont val="verdana, sans-serif"/>
      </rPr>
      <t xml:space="preserve">  and </t>
    </r>
    <r>
      <rPr>
        <u/>
        <sz val="9"/>
        <color rgb="FF1155CC"/>
        <rFont val="verdana, sans-serif"/>
      </rPr>
      <t>https://www.dropbox.com/s/ludl84vr90nupwc/10%20live%20demo%20.mp4?dl=0</t>
    </r>
  </si>
  <si>
    <t>BC1084CT-ND</t>
  </si>
  <si>
    <t>Compute module</t>
  </si>
  <si>
    <t>100uF</t>
  </si>
  <si>
    <t>TimeKeeping System</t>
  </si>
  <si>
    <t>C1, C2</t>
  </si>
  <si>
    <t>‎P5182-ND‎</t>
  </si>
  <si>
    <r>
      <rPr>
        <b/>
        <sz val="12"/>
        <color rgb="FF000000"/>
        <rFont val="Calibri"/>
        <family val="2"/>
      </rPr>
      <t xml:space="preserve">TimeKeeping Software: </t>
    </r>
    <r>
      <rPr>
        <b/>
        <u/>
        <sz val="12"/>
        <color rgb="FF1155CC"/>
        <rFont val="Calibri"/>
        <family val="2"/>
      </rPr>
      <t>https://nextleveltiming.com/</t>
    </r>
  </si>
  <si>
    <t>Jetson Orin Nano Super</t>
  </si>
  <si>
    <t>https://www.sparkfun.com/products/22098</t>
  </si>
  <si>
    <t>https://trackmateracing.com/shop/en/r-c-lap-counter-transponder-system/122-759-rc-lap-counter.html#/126-software-free_download</t>
  </si>
  <si>
    <t>10uF</t>
  </si>
  <si>
    <t>C7</t>
  </si>
  <si>
    <t>493-5915-1-ND‎</t>
  </si>
  <si>
    <t>NVMe SSD Card 500 Gb</t>
  </si>
  <si>
    <t>https://a.co/d/0fV5xrP8</t>
  </si>
  <si>
    <t>Peripherals</t>
  </si>
  <si>
    <t>USB keyboard and mouse</t>
  </si>
  <si>
    <t>12V to 8V LDO</t>
  </si>
  <si>
    <t>U1</t>
  </si>
  <si>
    <t>BA7808CP-E2CT-ND‎</t>
  </si>
  <si>
    <t>Sensors</t>
  </si>
  <si>
    <t>HDMI display</t>
  </si>
  <si>
    <t>HDMI-to-HDMI cable (to connect car to display)</t>
  </si>
  <si>
    <t>https://www.amazon.com/AmazonBasics-High-Speed-HDMI-Cable-1-Pack/dp/B014I8SSD0/ref=sr_1_3?crid=XMSL2XRHT8JC&amp;keywords=hdmi+to+hdmi+cable&amp;qid=1547846882&amp;s=Electronics&amp;sprefix=hdmi+to+h%2Celectronics%2C198&amp;sr=1-3</t>
  </si>
  <si>
    <t>Hokuyo 10LX</t>
  </si>
  <si>
    <r>
      <rPr>
        <sz val="10"/>
        <rFont val="Arial"/>
        <family val="2"/>
      </rPr>
      <t xml:space="preserve">40Hz, 15 Hz Alternative (SICK TIM 571: </t>
    </r>
    <r>
      <rPr>
        <u/>
        <sz val="10"/>
        <color rgb="FF1155CC"/>
        <rFont val="Arial"/>
        <family val="2"/>
      </rPr>
      <t>https://www.sick.com/us/en/catalog/products/lidar-and-radar-sensors/lidar-sensors/tim/tim571-2050101/p/p412444</t>
    </r>
    <r>
      <rPr>
        <sz val="10"/>
        <rFont val="Arial"/>
        <family val="2"/>
      </rPr>
      <t xml:space="preserve"> )</t>
    </r>
  </si>
  <si>
    <t>12V_TRANSFORMER</t>
  </si>
  <si>
    <t>U$9</t>
  </si>
  <si>
    <t>‎102-3892-ND‎</t>
  </si>
  <si>
    <t>Ethernet cable</t>
  </si>
  <si>
    <t>https://www.amazon.com/AmazonBasics-RJ45-Cat-6-Ethernet-Patch-Cable-5-Feet-1-5-Meters/dp/B00N2VILDM/ref=sxin_2?crid=1MTI9ZFERYQYG&amp;keywords=ethernet+cable&amp;pd_rd_i=B00N2VILDM&amp;pd_rd_r=07517f04-f0f1-49c9-957c-3c7a7f9f0aa4&amp;pd_rd_w=TbDx5&amp;pd_rd_wg=Rcds0&amp;pf_rd_p=70355792-caa9-41b7-bbcc-bee9ee21b884&amp;pf_rd_r=P1CTKHHA2N5S84FM73E9&amp;qid=1547846839&amp;s=Electronics&amp;sprefix=ethernet%2Celectronics%2C190</t>
  </si>
  <si>
    <t>CUI Inc ?? SERIES: PDQ30-D ?? DESCRIPTION: DC-DC CONVERTER http://www.mouser.com/pdfdocs/pdq30-d.pdf</t>
  </si>
  <si>
    <t>2 Pin Terminal Blocks</t>
  </si>
  <si>
    <t>X1, X2, X3, X4, X5, X6, X7</t>
  </si>
  <si>
    <t>‎ED10561-ND‎</t>
  </si>
  <si>
    <t>.100 (2.54mm) Center Header - 2 Pin"</t>
  </si>
  <si>
    <t>Extras</t>
  </si>
  <si>
    <t>Toggle Switch</t>
  </si>
  <si>
    <t>RC Car Jack</t>
  </si>
  <si>
    <t>U$3</t>
  </si>
  <si>
    <t>‎360-3240-ND‎</t>
  </si>
  <si>
    <t>https://www.amazon.com/Duratrax-Tech-Deluxe-Truck-Stand/dp/B0014T74MS/ref=sr_1_8?keywords=rc+car+jack&amp;link_code=qs&amp;qid=1583767342&amp;sr=8-8</t>
  </si>
  <si>
    <t>SPST two lead switch Pin 2 is common Swtich Closed on Down Position DigiKey: http://www.digikey.com/product-detail/en/nkk-switches/M2011S2A1W01/360-3240-ND/1049342 Data Sheet: http://2t70un3m1d9z1kztamkdrd38.wpengine.netdna-cdn.com/wp-content/uploads/2016/02/MtogglesBushing.pdf</t>
  </si>
  <si>
    <t>4 Pin Connector</t>
  </si>
  <si>
    <t>https://www.robotshop.com/en/hokuyo-ust-10lx-scanning-laser-rangefinder.html</t>
  </si>
  <si>
    <t>U$10</t>
  </si>
  <si>
    <t>455-2249-ND‎</t>
  </si>
  <si>
    <t>Electronics</t>
  </si>
  <si>
    <t>Power LED</t>
  </si>
  <si>
    <t>LED 1</t>
  </si>
  <si>
    <t>LED5MM</t>
  </si>
  <si>
    <t>LED power indicator, Or any other 5mm LED, current around 20 mA, Or any other 5mm LED, current around 20 mA</t>
  </si>
  <si>
    <t>Powerboard</t>
  </si>
  <si>
    <t>https://orders.ambimat.com/product/f1tenth-power-board-rohs-com-multipliant/</t>
  </si>
  <si>
    <t>VESC 6 MkVI</t>
  </si>
  <si>
    <t>https://trampaboards.com/vesc-6-mkv-in-cnc-t6-silicone-sealed-aluminium-box-with-genuine-xt90-connectors--vedder-electronic-speed-controller-trampa-special-p-27536.html</t>
  </si>
  <si>
    <t xml:space="preserve">Joystick: 8BitDo Ultimate 2C Wireless </t>
  </si>
  <si>
    <r>
      <rPr>
        <sz val="12"/>
        <color rgb="FF000000"/>
        <rFont val="Calibri"/>
        <family val="2"/>
      </rPr>
      <t>Alternative: Dualshock 4 (</t>
    </r>
    <r>
      <rPr>
        <u/>
        <sz val="12"/>
        <color rgb="FF1155CC"/>
        <rFont val="Calibri"/>
        <family val="2"/>
      </rPr>
      <t>https://www.amazon.com/s?k=ps4+controller+dualshock+4&amp;ref=nb_sb_noss_1</t>
    </r>
    <r>
      <rPr>
        <sz val="12"/>
        <color rgb="FF000000"/>
        <rFont val="Calibri"/>
        <family val="2"/>
      </rPr>
      <t xml:space="preserve">
)</t>
    </r>
  </si>
  <si>
    <t>https://a.co/d/04eI03bz</t>
  </si>
  <si>
    <t>Zeee Fireproof Lipo Battery Bag Explosion-Proof for Charge &amp; Storage.</t>
  </si>
  <si>
    <t>https://a.co/d/0gqCuJEP</t>
  </si>
  <si>
    <t>Barrel Jack to Pigtail</t>
  </si>
  <si>
    <t>You will only need one</t>
  </si>
  <si>
    <t>https://a.co/d/08r6C0zE</t>
  </si>
  <si>
    <t>3S Balance Plug Extender</t>
  </si>
  <si>
    <t>https://a.co/d/04z1CrzG</t>
  </si>
  <si>
    <t>Antenna</t>
  </si>
  <si>
    <t>https://www.amazon.com/Antenna-MHF4-IPEX-Wireless-Repeater/dp/B07V1W759Z/ref=as_li_ss_tl?dchild=1&amp;keywords=7dBi+2.4GHz+5GHz+5.8G+Dual+Band+WiFi+RP-SMA+Male+High+Gain+Antenna+&amp;+MHF4+IPEX+4+to+RP+SMA+Female+Cable+Antenna+for+NGFF+M.2+AX200+9260+WiFi+Card+Wireless+Routers+PC+Repeater+Desktop+PC+FPV+UAV+Drone&amp;qid=1599076820&amp;sr=8-1&amp;linkCode=sl1&amp;tag=jetsonhacks-20&amp;linkId=b71a94c6b3d354e2289b3843f50d3feb&amp;language=en_US</t>
  </si>
  <si>
    <t>Intel RealSense D435i (optional)</t>
  </si>
  <si>
    <t>https://store.realsenseai.com/buy-intel-realsense-depth-camera-d435i.html</t>
  </si>
  <si>
    <t>Miscellaneous</t>
  </si>
  <si>
    <t>Header Pins</t>
  </si>
  <si>
    <t>You'll only need 3 header pins.</t>
  </si>
  <si>
    <t>https://www.amazon.com/DIKAVS-Break-Headers-Header-Connector/dp/B076F64ZCJ/ref=sr_1_20?keywords=header+pins&amp;link_code=qs&amp;qid=1583274210&amp;sr=8-20</t>
  </si>
  <si>
    <t>VESC ppm cable</t>
  </si>
  <si>
    <r>
      <rPr>
        <sz val="12"/>
        <color rgb="FF000000"/>
        <rFont val="Calibri"/>
        <family val="2"/>
      </rPr>
      <t xml:space="preserve">Alternative: </t>
    </r>
    <r>
      <rPr>
        <u/>
        <sz val="12"/>
        <color rgb="FF1155CC"/>
        <rFont val="Calibri"/>
        <family val="2"/>
      </rPr>
      <t>https://www.adafruit.com/product/3893</t>
    </r>
    <r>
      <rPr>
        <sz val="12"/>
        <color rgb="FF000000"/>
        <rFont val="Calibri"/>
        <family val="2"/>
      </rPr>
      <t xml:space="preserve"> (1.25$)</t>
    </r>
  </si>
  <si>
    <t>https://trampaboards.com/maytech-to-vesc-150mm-ppm-extension-cable--silicon-cable-24-awg-blackredwhite-p-24329.html</t>
  </si>
  <si>
    <t>DP emulator</t>
  </si>
  <si>
    <t>https://www.amazon.com/FUERAN-DP-DisplayPort-emulator-2560x1600/dp/B071CGCTMY/ref=sr_1_1_sspa?crid=14AY29OV7GI7J&amp;dib=eyJ2IjoiMSJ9.Nzn1r1ELg1nz3QfKElQDdR5Ki8mvEs-7rtHL2pdHoxp8QRd4r7m0xn08kWOAS2eHMM9W9X-Z_Sbt1gaplwMw2dbNX-If8Z6rl9dJTs7QQcE5Dr3v_vqY4eNv81s6QZOK872dyUFU5IZ3MrhLtD5UmszxscCMqhty5VS4p9D0WCsx-Cfyk11fDAw6sdqHVSlaCuW3IoK0i8_GrkO63iAEKkidFCNS6Wlis6INdyeGFdg.syehI3t7uokfanpuBaxCdSpwbEn5mHRbN2fnL1qDF8U&amp;dib_tag=se&amp;keywords=display+port+emulator&amp;qid=1718041775&amp;sprefix=display+por+emulator%2Caps%2C72&amp;sr=8-1-spons&amp;sp_csd=d2lkZ2V0TmFtZT1zcF9hdGY&amp;psc=1</t>
  </si>
  <si>
    <t>short (~1 ft) A USB-to-Micro USB cable</t>
  </si>
  <si>
    <t>sold in bulk (pack of 5)</t>
  </si>
  <si>
    <t>https://a.co/d/0hjc5X8u</t>
  </si>
  <si>
    <t>Bullet Adapter 4mm Male 3.5mm Female</t>
  </si>
  <si>
    <t>https://www.amainhobbies.com/bullet-adapter-4mm-male-3.5mm-female-3-gpmm3123/p608341</t>
  </si>
  <si>
    <t>(motor lead and vesc lead sizes are different)</t>
  </si>
  <si>
    <t>Total:</t>
  </si>
  <si>
    <t>(estimated)</t>
  </si>
  <si>
    <t>Updated: 2026-05-15</t>
  </si>
  <si>
    <t>Original Link</t>
  </si>
  <si>
    <t>Suggested Link</t>
  </si>
  <si>
    <t>Total</t>
  </si>
  <si>
    <r>
      <rPr>
        <sz val="12"/>
        <color rgb="FF000000"/>
        <rFont val="Calibri"/>
        <family val="2"/>
      </rPr>
      <t xml:space="preserve">Slash 4x4 Ultimate also compatible with the platform deck, more expensive ($529.95): </t>
    </r>
    <r>
      <rPr>
        <u/>
        <sz val="12"/>
        <color rgb="FF1155CC"/>
        <rFont val="Calibri"/>
        <family val="2"/>
      </rPr>
      <t xml:space="preserve">https://traxxas.com/68277-4-slash-4x4-vxl-ultimate
</t>
    </r>
    <r>
      <rPr>
        <sz val="12"/>
        <color rgb="FF000000"/>
        <rFont val="Calibri"/>
        <family val="2"/>
      </rPr>
      <t>Cheaper ($329.95) but weaker alternative (</t>
    </r>
    <r>
      <rPr>
        <u/>
        <sz val="12"/>
        <color rgb="FF1155CC"/>
        <rFont val="Calibri"/>
        <family val="2"/>
      </rPr>
      <t>https://a.co/d/0c9ZRLgj</t>
    </r>
    <r>
      <rPr>
        <sz val="12"/>
        <color rgb="FF000000"/>
        <rFont val="Calibri"/>
        <family val="2"/>
      </rPr>
      <t>)</t>
    </r>
  </si>
  <si>
    <t>https://www.arrow.com/en/products/945-13766-0000-000/nvidia.html</t>
  </si>
  <si>
    <t>Choose ONE of the listed options</t>
  </si>
  <si>
    <t>TOTAL in the Kit = 720 pcs</t>
  </si>
  <si>
    <t>TOTAL in the Kit = 720 pcs (Note: ~8$ + 12$ shipping, same supplier as above so ordering together may cut costs)</t>
  </si>
  <si>
    <t>Assorted Kit TOTAL = 140 pcs</t>
  </si>
  <si>
    <t>TOTAL = 10 pcs (out of 6 needed)</t>
  </si>
  <si>
    <t>TOTAL = 60 pcs (out of 4 needed)
You'll only need 4 screws. This screw length is for a 0.12" platform deck. Adjust accordingly if you use a different platform deck thickness.</t>
  </si>
  <si>
    <t>TOTAL = 180 pcs</t>
  </si>
  <si>
    <t>SEL</t>
  </si>
  <si>
    <t>x</t>
  </si>
  <si>
    <t>https://eu.robotshop.com/products/orbbec-pulsar-sl450-single-line-lidar-robotic-navigation</t>
  </si>
  <si>
    <t>https://eu.robotshop.com/products/lakibeam-1l-dtof-industry-grade-single-line-lidar</t>
  </si>
  <si>
    <t>https://eu.robotshop.com/products/lakibeam-1-dtof-industry-grade-single-line-lidar</t>
  </si>
  <si>
    <t>LIDARS</t>
  </si>
  <si>
    <t>Orbbec Pulsar SL450</t>
  </si>
  <si>
    <t>Richbeam Lakibeam 1L</t>
  </si>
  <si>
    <t>Richbeam Lakibeam 1</t>
  </si>
  <si>
    <r>
      <t xml:space="preserve">Traxxas Fiesta ST Rally </t>
    </r>
    <r>
      <rPr>
        <b/>
        <sz val="12"/>
        <color rgb="FF000000"/>
        <rFont val="Calibri"/>
        <family val="2"/>
      </rPr>
      <t>VXL Edition</t>
    </r>
    <r>
      <rPr>
        <sz val="12"/>
        <color rgb="FF000000"/>
        <rFont val="Calibri"/>
        <family val="2"/>
      </rPr>
      <t>; 1/10 Scale Brushless Pro 4WD</t>
    </r>
  </si>
  <si>
    <r>
      <t xml:space="preserve">Choose ONE of the listed options
</t>
    </r>
    <r>
      <rPr>
        <b/>
        <sz val="14"/>
        <color theme="1"/>
        <rFont val="Calibri"/>
        <family val="2"/>
      </rPr>
      <t>Orbbec Pulsar SL450</t>
    </r>
    <r>
      <rPr>
        <sz val="14"/>
        <color theme="1"/>
        <rFont val="Calibri"/>
        <family val="2"/>
      </rPr>
      <t xml:space="preserve"> is by far the best choice in terms of performance, though slightly heavier and larger in volume 
[still comfortably within specs]</t>
    </r>
  </si>
  <si>
    <t>https://amzn.eu/d/0idbDFfg</t>
  </si>
  <si>
    <t>https://amzn.eu/d/04ogTQuG</t>
  </si>
  <si>
    <t>https://a.co/d/0dyM1Yp7</t>
  </si>
  <si>
    <t>https://a.co/d/01DhHfBo</t>
  </si>
  <si>
    <t>https://amzn.eu/d/0934urF9</t>
  </si>
  <si>
    <t>https://amzn.eu/d/04Ugqb5h</t>
  </si>
  <si>
    <t>https://amzn.eu/d/02bQy3af</t>
  </si>
  <si>
    <t>https://amzn.eu/d/0j7PSHhZ</t>
  </si>
  <si>
    <t>https://amzn.eu/d/0izrkK4Z</t>
  </si>
  <si>
    <t>https://amzn.eu/d/0ffKlbu4</t>
  </si>
  <si>
    <t>https://orders.ambimat.com/product/roboracer-power-board-multi-qty-rohs-compliant/</t>
  </si>
  <si>
    <t>https://a.co/d/0aQPatBC</t>
  </si>
  <si>
    <t>https://a.co/d/0bI2TfQP</t>
  </si>
  <si>
    <t>https://amzn.eu/d/04H49Gdl</t>
  </si>
  <si>
    <t>https://amzn.eu/d/0ibdH4zI</t>
  </si>
  <si>
    <t>https://a.co/d/0hFfle4p</t>
  </si>
  <si>
    <t>https://amzn.eu/d/0ak3Mr9H</t>
  </si>
  <si>
    <t>Choose ONE of the listed options - LOW STOCK</t>
  </si>
  <si>
    <t>https://amzn.eu/d/0g7w5ZpY</t>
  </si>
  <si>
    <t>https://amzn.eu/d/096zo9ar</t>
  </si>
  <si>
    <t>https://amzn.eu/d/09g0oNKo</t>
  </si>
  <si>
    <t>https://amzn.eu/d/03RNgWbz</t>
  </si>
  <si>
    <t>https://amzn.eu/d/0imA4WsT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</si>
</sst>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_([$€-2]\ * #,##0.00_);_([$€-2]\ * \(#,##0.00\);_([$€-2]\ * &quot;-&quot;??_);_(@_)"/>
  </numFmts>
  <fonts count="58">
    <font>
      <sz val="10"/>
      <color rgb="FF000000"/>
      <name val="Arial"/>
      <scheme val="minor"/>
    </font>
    <font>
      <i/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0"/>
      <color theme="1"/>
      <name val="Arial"/>
      <family val="2"/>
      <scheme val="minor"/>
    </font>
    <font>
      <u/>
      <sz val="12"/>
      <color rgb="FF000000"/>
      <name val="Calibri"/>
      <family val="2"/>
    </font>
    <font>
      <u/>
      <sz val="12"/>
      <color rgb="FF0000FF"/>
      <name val="Calibri"/>
      <family val="2"/>
    </font>
    <font>
      <sz val="12"/>
      <color theme="1"/>
      <name val="Arial"/>
      <family val="2"/>
      <scheme val="minor"/>
    </font>
    <font>
      <sz val="10"/>
      <color rgb="FF000000"/>
      <name val="Arial"/>
      <family val="2"/>
    </font>
    <font>
      <u/>
      <sz val="12"/>
      <color rgb="FF0563C1"/>
      <name val="Calibri"/>
      <family val="2"/>
    </font>
    <font>
      <sz val="12"/>
      <color rgb="FF24292E"/>
      <name val="Calibri"/>
      <family val="2"/>
    </font>
    <font>
      <sz val="10"/>
      <color theme="1"/>
      <name val="Calibri"/>
      <family val="2"/>
    </font>
    <font>
      <u/>
      <sz val="10"/>
      <color rgb="FF0563C1"/>
      <name val="Arial"/>
      <family val="2"/>
    </font>
    <font>
      <u/>
      <sz val="12"/>
      <color rgb="FF0000FF"/>
      <name val="Calibri"/>
      <family val="2"/>
    </font>
    <font>
      <u/>
      <sz val="9"/>
      <color rgb="FF0000FF"/>
      <name val="Verdana"/>
      <family val="2"/>
    </font>
    <font>
      <u/>
      <sz val="9"/>
      <color rgb="FF1155CC"/>
      <name val="Verdana"/>
      <family val="2"/>
    </font>
    <font>
      <sz val="12"/>
      <color rgb="FF000000"/>
      <name val="Arial"/>
      <family val="2"/>
    </font>
    <font>
      <sz val="10"/>
      <color theme="1"/>
      <name val="Arial"/>
      <family val="2"/>
    </font>
    <font>
      <u/>
      <sz val="9"/>
      <color rgb="FF000000"/>
      <name val="Verdana"/>
      <family val="2"/>
    </font>
    <font>
      <b/>
      <u/>
      <sz val="12"/>
      <color rgb="FF000000"/>
      <name val="Calibri"/>
      <family val="2"/>
    </font>
    <font>
      <u/>
      <sz val="12"/>
      <color rgb="FF0000FF"/>
      <name val="Calibri"/>
      <family val="2"/>
    </font>
    <font>
      <u/>
      <sz val="9"/>
      <color rgb="FF000000"/>
      <name val="Verdana"/>
      <family val="2"/>
    </font>
    <font>
      <b/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sz val="9"/>
      <color rgb="FF000000"/>
      <name val="Verdana"/>
      <family val="2"/>
    </font>
    <font>
      <u/>
      <sz val="10"/>
      <color rgb="FF0000FF"/>
      <name val="Arial"/>
      <family val="2"/>
    </font>
    <font>
      <u/>
      <sz val="12"/>
      <color rgb="FF0000FF"/>
      <name val="Calibri"/>
      <family val="2"/>
    </font>
    <font>
      <sz val="12"/>
      <color rgb="FF1155CC"/>
      <name val="Calibri"/>
      <family val="2"/>
    </font>
    <font>
      <u/>
      <sz val="12"/>
      <color rgb="FF1155CC"/>
      <name val="Calibri"/>
      <family val="2"/>
    </font>
    <font>
      <u/>
      <sz val="12"/>
      <color rgb="FF000000"/>
      <name val="Calibri"/>
      <family val="2"/>
    </font>
    <font>
      <u/>
      <sz val="11"/>
      <color rgb="FF0563C1"/>
      <name val="Calibri"/>
      <family val="2"/>
    </font>
    <font>
      <u/>
      <sz val="11"/>
      <color rgb="FF0000FF"/>
      <name val="Arial"/>
      <family val="2"/>
    </font>
    <font>
      <sz val="11"/>
      <color theme="1"/>
      <name val="Calibri"/>
      <family val="2"/>
    </font>
    <font>
      <u/>
      <sz val="10"/>
      <color rgb="FF0000FF"/>
      <name val="Arial"/>
      <family val="2"/>
    </font>
    <font>
      <u/>
      <sz val="11"/>
      <color rgb="FF0563C1"/>
      <name val="Arial"/>
      <family val="2"/>
    </font>
    <font>
      <u/>
      <sz val="11"/>
      <color rgb="FF1155CC"/>
      <name val="Calibri"/>
      <family val="2"/>
    </font>
    <font>
      <u/>
      <sz val="12"/>
      <color rgb="FF0563C1"/>
      <name val="Calibri"/>
      <family val="2"/>
    </font>
    <font>
      <u/>
      <sz val="12"/>
      <color rgb="FF0563C1"/>
      <name val="Calibri"/>
      <family val="2"/>
    </font>
    <font>
      <sz val="12"/>
      <color rgb="FFED7D31"/>
      <name val="Calibri"/>
      <family val="2"/>
    </font>
    <font>
      <b/>
      <sz val="12"/>
      <color rgb="FF0563C1"/>
      <name val="Calibri"/>
      <family val="2"/>
    </font>
    <font>
      <u/>
      <sz val="10"/>
      <color rgb="FF1155CC"/>
      <name val="Arial"/>
      <family val="2"/>
    </font>
    <font>
      <b/>
      <sz val="12"/>
      <color rgb="FF000000"/>
      <name val="Arial"/>
      <family val="2"/>
    </font>
    <font>
      <u/>
      <sz val="9"/>
      <color rgb="FF1155CC"/>
      <name val="verdana, sans-serif"/>
    </font>
    <font>
      <sz val="9"/>
      <color rgb="FF000000"/>
      <name val="verdana, sans-serif"/>
    </font>
    <font>
      <b/>
      <u/>
      <sz val="12"/>
      <color rgb="FF1155CC"/>
      <name val="Calibri"/>
      <family val="2"/>
    </font>
    <font>
      <sz val="10"/>
      <name val="Arial"/>
      <family val="2"/>
    </font>
    <font>
      <b/>
      <sz val="16"/>
      <color rgb="FF000000"/>
      <name val="Calibri"/>
      <family val="2"/>
    </font>
    <font>
      <b/>
      <i/>
      <sz val="16"/>
      <color rgb="FF000000"/>
      <name val="Calibri"/>
      <family val="2"/>
    </font>
    <font>
      <b/>
      <sz val="16"/>
      <color theme="1"/>
      <name val="Calibri"/>
      <family val="2"/>
    </font>
    <font>
      <u/>
      <sz val="10"/>
      <color theme="10"/>
      <name val="Arial"/>
      <family val="2"/>
      <scheme val="minor"/>
    </font>
    <font>
      <u/>
      <sz val="12"/>
      <color theme="10"/>
      <name val="Arial"/>
      <family val="2"/>
      <scheme val="minor"/>
    </font>
    <font>
      <u/>
      <sz val="12"/>
      <color theme="10"/>
      <name val="Calibri"/>
      <family val="2"/>
    </font>
    <font>
      <sz val="10"/>
      <color rgb="FF000000"/>
      <name val="Calibri"/>
      <family val="2"/>
    </font>
    <font>
      <b/>
      <sz val="14"/>
      <color theme="1"/>
      <name val="Calibri"/>
      <family val="2"/>
    </font>
    <font>
      <u/>
      <sz val="11"/>
      <color rgb="FF0000FF"/>
      <name val="Calibri"/>
      <family val="2"/>
    </font>
    <font>
      <u/>
      <sz val="10"/>
      <color rgb="FF0000FF"/>
      <name val="Calibri"/>
      <family val="2"/>
    </font>
    <font>
      <b/>
      <sz val="18"/>
      <color theme="1"/>
      <name val="Calibri"/>
      <family val="2"/>
    </font>
    <font>
      <sz val="14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FFFFF"/>
      </patternFill>
    </fill>
  </fills>
  <borders count="8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49" fillId="0" borderId="0" applyNumberFormat="0" applyFill="0" applyBorder="0" applyAlignment="0" applyProtection="0"/>
  </cellStyleXfs>
  <cellXfs count="176">
    <xf numFmtId="0" fontId="0" fillId="0" borderId="0" xfId="0"/>
    <xf numFmtId="0" fontId="1" fillId="2" borderId="0" xfId="0" applyFont="1" applyFill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top"/>
    </xf>
    <xf numFmtId="0" fontId="3" fillId="0" borderId="0" xfId="0" applyFont="1"/>
    <xf numFmtId="0" fontId="2" fillId="3" borderId="0" xfId="0" applyFont="1" applyFill="1" applyAlignment="1">
      <alignment horizontal="left" vertical="top"/>
    </xf>
    <xf numFmtId="0" fontId="2" fillId="3" borderId="0" xfId="0" applyFont="1" applyFill="1"/>
    <xf numFmtId="0" fontId="4" fillId="3" borderId="0" xfId="0" applyFont="1" applyFill="1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horizontal="left"/>
    </xf>
    <xf numFmtId="0" fontId="3" fillId="0" borderId="0" xfId="0" applyFont="1" applyAlignment="1">
      <alignment vertical="top"/>
    </xf>
    <xf numFmtId="0" fontId="7" fillId="0" borderId="0" xfId="0" applyFont="1"/>
    <xf numFmtId="0" fontId="8" fillId="4" borderId="0" xfId="0" applyFont="1" applyFill="1"/>
    <xf numFmtId="0" fontId="9" fillId="0" borderId="0" xfId="0" applyFont="1" applyAlignment="1">
      <alignment horizontal="left"/>
    </xf>
    <xf numFmtId="0" fontId="8" fillId="0" borderId="0" xfId="0" applyFont="1"/>
    <xf numFmtId="0" fontId="10" fillId="0" borderId="0" xfId="0" applyFont="1"/>
    <xf numFmtId="0" fontId="11" fillId="0" borderId="0" xfId="0" applyFont="1" applyAlignment="1">
      <alignment horizontal="left"/>
    </xf>
    <xf numFmtId="0" fontId="2" fillId="3" borderId="0" xfId="0" applyFont="1" applyFill="1" applyAlignment="1">
      <alignment horizontal="left"/>
    </xf>
    <xf numFmtId="0" fontId="8" fillId="0" borderId="0" xfId="0" applyFont="1" applyAlignment="1">
      <alignment horizontal="right"/>
    </xf>
    <xf numFmtId="164" fontId="8" fillId="0" borderId="0" xfId="0" applyNumberFormat="1" applyFont="1"/>
    <xf numFmtId="0" fontId="12" fillId="0" borderId="0" xfId="0" applyFont="1"/>
    <xf numFmtId="0" fontId="13" fillId="0" borderId="0" xfId="0" applyFont="1" applyAlignment="1">
      <alignment horizontal="left"/>
    </xf>
    <xf numFmtId="0" fontId="2" fillId="3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14" fillId="0" borderId="0" xfId="0" applyFont="1"/>
    <xf numFmtId="0" fontId="4" fillId="0" borderId="0" xfId="0" applyFont="1" applyAlignment="1">
      <alignment horizontal="center"/>
    </xf>
    <xf numFmtId="0" fontId="15" fillId="0" borderId="0" xfId="0" applyFont="1"/>
    <xf numFmtId="0" fontId="16" fillId="0" borderId="0" xfId="0" applyFont="1"/>
    <xf numFmtId="0" fontId="2" fillId="3" borderId="0" xfId="0" applyFont="1" applyFill="1" applyAlignment="1">
      <alignment vertical="top"/>
    </xf>
    <xf numFmtId="0" fontId="17" fillId="0" borderId="0" xfId="0" applyFont="1" applyAlignment="1">
      <alignment vertical="top"/>
    </xf>
    <xf numFmtId="0" fontId="18" fillId="0" borderId="0" xfId="0" applyFont="1"/>
    <xf numFmtId="0" fontId="17" fillId="0" borderId="0" xfId="0" applyFont="1"/>
    <xf numFmtId="0" fontId="17" fillId="0" borderId="0" xfId="0" applyFont="1" applyAlignment="1">
      <alignment vertical="top" wrapText="1"/>
    </xf>
    <xf numFmtId="0" fontId="19" fillId="0" borderId="0" xfId="0" applyFont="1" applyAlignment="1">
      <alignment horizontal="left" wrapText="1"/>
    </xf>
    <xf numFmtId="0" fontId="20" fillId="0" borderId="0" xfId="0" applyFont="1"/>
    <xf numFmtId="0" fontId="21" fillId="0" borderId="0" xfId="0" applyFont="1"/>
    <xf numFmtId="0" fontId="17" fillId="2" borderId="0" xfId="0" applyFont="1" applyFill="1" applyAlignment="1">
      <alignment vertical="top"/>
    </xf>
    <xf numFmtId="164" fontId="2" fillId="3" borderId="0" xfId="0" applyNumberFormat="1" applyFont="1" applyFill="1" applyAlignment="1">
      <alignment vertical="top"/>
    </xf>
    <xf numFmtId="0" fontId="22" fillId="3" borderId="0" xfId="0" applyFont="1" applyFill="1"/>
    <xf numFmtId="0" fontId="4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 applyAlignment="1">
      <alignment vertical="top" wrapText="1"/>
    </xf>
    <xf numFmtId="0" fontId="26" fillId="0" borderId="0" xfId="0" applyFont="1"/>
    <xf numFmtId="0" fontId="27" fillId="0" borderId="0" xfId="0" applyFont="1"/>
    <xf numFmtId="0" fontId="29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0" fillId="0" borderId="0" xfId="0" applyFont="1" applyAlignment="1">
      <alignment wrapText="1"/>
    </xf>
    <xf numFmtId="0" fontId="31" fillId="0" borderId="0" xfId="0" applyFont="1"/>
    <xf numFmtId="0" fontId="32" fillId="0" borderId="0" xfId="0" applyFont="1" applyAlignment="1">
      <alignment wrapText="1"/>
    </xf>
    <xf numFmtId="0" fontId="33" fillId="0" borderId="0" xfId="0" applyFont="1"/>
    <xf numFmtId="0" fontId="34" fillId="0" borderId="0" xfId="0" applyFont="1"/>
    <xf numFmtId="0" fontId="35" fillId="0" borderId="0" xfId="0" applyFont="1" applyAlignment="1">
      <alignment wrapText="1"/>
    </xf>
    <xf numFmtId="164" fontId="2" fillId="3" borderId="0" xfId="0" applyNumberFormat="1" applyFont="1" applyFill="1"/>
    <xf numFmtId="0" fontId="36" fillId="0" borderId="0" xfId="0" applyFont="1"/>
    <xf numFmtId="0" fontId="37" fillId="2" borderId="0" xfId="0" applyFont="1" applyFill="1"/>
    <xf numFmtId="0" fontId="1" fillId="0" borderId="0" xfId="0" applyFont="1"/>
    <xf numFmtId="0" fontId="2" fillId="5" borderId="0" xfId="0" applyFont="1" applyFill="1" applyAlignment="1">
      <alignment horizontal="center"/>
    </xf>
    <xf numFmtId="164" fontId="3" fillId="5" borderId="0" xfId="0" applyNumberFormat="1" applyFont="1" applyFill="1" applyAlignment="1">
      <alignment horizontal="center"/>
    </xf>
    <xf numFmtId="0" fontId="38" fillId="0" borderId="0" xfId="0" applyFont="1"/>
    <xf numFmtId="0" fontId="39" fillId="0" borderId="0" xfId="0" applyFont="1" applyAlignment="1">
      <alignment horizontal="left"/>
    </xf>
    <xf numFmtId="0" fontId="3" fillId="0" borderId="0" xfId="0" applyFont="1" applyAlignment="1">
      <alignment horizontal="left" vertical="top"/>
    </xf>
    <xf numFmtId="0" fontId="16" fillId="0" borderId="0" xfId="0" applyFont="1" applyAlignment="1">
      <alignment horizontal="left" wrapText="1"/>
    </xf>
    <xf numFmtId="0" fontId="46" fillId="0" borderId="0" xfId="0" applyFont="1" applyAlignment="1">
      <alignment horizontal="left" vertical="center" wrapText="1"/>
    </xf>
    <xf numFmtId="0" fontId="47" fillId="2" borderId="1" xfId="0" applyFont="1" applyFill="1" applyBorder="1" applyAlignment="1">
      <alignment horizontal="left" vertical="center" wrapText="1"/>
    </xf>
    <xf numFmtId="0" fontId="46" fillId="0" borderId="1" xfId="0" applyFont="1" applyBorder="1" applyAlignment="1">
      <alignment horizontal="left" vertical="center" wrapText="1"/>
    </xf>
    <xf numFmtId="165" fontId="46" fillId="0" borderId="1" xfId="0" applyNumberFormat="1" applyFont="1" applyBorder="1" applyAlignment="1">
      <alignment horizontal="left" vertical="center" wrapText="1"/>
    </xf>
    <xf numFmtId="0" fontId="48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165" fontId="2" fillId="3" borderId="1" xfId="0" applyNumberFormat="1" applyFont="1" applyFill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165" fontId="2" fillId="3" borderId="1" xfId="0" applyNumberFormat="1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horizontal="center" vertical="center" wrapText="1"/>
    </xf>
    <xf numFmtId="165" fontId="3" fillId="6" borderId="1" xfId="0" applyNumberFormat="1" applyFont="1" applyFill="1" applyBorder="1" applyAlignment="1">
      <alignment horizontal="center" vertical="center" wrapText="1"/>
    </xf>
    <xf numFmtId="0" fontId="49" fillId="6" borderId="1" xfId="1" applyFill="1" applyBorder="1" applyAlignment="1">
      <alignment vertical="center" wrapText="1"/>
    </xf>
    <xf numFmtId="0" fontId="6" fillId="6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horizontal="center" vertical="center" wrapText="1"/>
    </xf>
    <xf numFmtId="165" fontId="3" fillId="7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65" fontId="3" fillId="5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9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3" fillId="6" borderId="0" xfId="0" applyFont="1" applyFill="1" applyAlignment="1">
      <alignment vertical="center" wrapText="1"/>
    </xf>
    <xf numFmtId="165" fontId="3" fillId="6" borderId="2" xfId="0" applyNumberFormat="1" applyFont="1" applyFill="1" applyBorder="1" applyAlignment="1">
      <alignment horizontal="center" vertical="center" wrapText="1"/>
    </xf>
    <xf numFmtId="165" fontId="3" fillId="6" borderId="3" xfId="0" applyNumberFormat="1" applyFont="1" applyFill="1" applyBorder="1" applyAlignment="1">
      <alignment horizontal="center" vertical="center" wrapText="1"/>
    </xf>
    <xf numFmtId="0" fontId="49" fillId="7" borderId="1" xfId="1" applyFill="1" applyBorder="1" applyAlignment="1">
      <alignment vertical="center" wrapText="1"/>
    </xf>
    <xf numFmtId="0" fontId="3" fillId="7" borderId="0" xfId="0" applyFont="1" applyFill="1" applyAlignment="1">
      <alignment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3" xfId="0" applyFont="1" applyFill="1" applyBorder="1" applyAlignment="1">
      <alignment horizontal="left" vertical="center" wrapText="1"/>
    </xf>
    <xf numFmtId="165" fontId="3" fillId="6" borderId="2" xfId="0" applyNumberFormat="1" applyFont="1" applyFill="1" applyBorder="1" applyAlignment="1">
      <alignment horizontal="center" vertical="center" wrapText="1"/>
    </xf>
    <xf numFmtId="165" fontId="3" fillId="6" borderId="3" xfId="0" applyNumberFormat="1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28" fillId="0" borderId="0" xfId="0" applyFont="1"/>
    <xf numFmtId="0" fontId="0" fillId="0" borderId="0" xfId="0"/>
    <xf numFmtId="0" fontId="31" fillId="0" borderId="0" xfId="0" applyFont="1"/>
    <xf numFmtId="0" fontId="20" fillId="0" borderId="0" xfId="0" applyFont="1"/>
    <xf numFmtId="0" fontId="3" fillId="0" borderId="0" xfId="0" applyFont="1" applyAlignment="1">
      <alignment vertical="top"/>
    </xf>
    <xf numFmtId="0" fontId="9" fillId="0" borderId="0" xfId="0" applyFont="1" applyAlignment="1">
      <alignment horizontal="left"/>
    </xf>
    <xf numFmtId="165" fontId="46" fillId="0" borderId="1" xfId="0" applyNumberFormat="1" applyFont="1" applyBorder="1" applyAlignment="1">
      <alignment horizontal="center" vertical="center" wrapText="1"/>
    </xf>
    <xf numFmtId="165" fontId="2" fillId="3" borderId="1" xfId="0" applyNumberFormat="1" applyFont="1" applyFill="1" applyBorder="1" applyAlignment="1">
      <alignment horizontal="center" vertical="center" wrapText="1"/>
    </xf>
    <xf numFmtId="165" fontId="3" fillId="0" borderId="1" xfId="0" applyNumberFormat="1" applyFont="1" applyFill="1" applyBorder="1" applyAlignment="1">
      <alignment horizontal="center" vertical="center" wrapText="1"/>
    </xf>
    <xf numFmtId="0" fontId="50" fillId="6" borderId="1" xfId="1" applyFont="1" applyFill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50" fillId="7" borderId="1" xfId="1" applyFont="1" applyFill="1" applyBorder="1" applyAlignment="1">
      <alignment vertical="center" wrapText="1"/>
    </xf>
    <xf numFmtId="0" fontId="50" fillId="6" borderId="2" xfId="1" applyFont="1" applyFill="1" applyBorder="1" applyAlignment="1">
      <alignment horizontal="left" vertical="center" wrapText="1"/>
    </xf>
    <xf numFmtId="0" fontId="50" fillId="6" borderId="3" xfId="1" applyFont="1" applyFill="1" applyBorder="1" applyAlignment="1">
      <alignment horizontal="left" vertical="center" wrapText="1"/>
    </xf>
    <xf numFmtId="0" fontId="51" fillId="6" borderId="1" xfId="1" applyFont="1" applyFill="1" applyBorder="1" applyAlignment="1">
      <alignment vertical="center" wrapText="1"/>
    </xf>
    <xf numFmtId="0" fontId="51" fillId="7" borderId="1" xfId="1" applyFont="1" applyFill="1" applyBorder="1" applyAlignment="1">
      <alignment vertical="center" wrapText="1"/>
    </xf>
    <xf numFmtId="0" fontId="51" fillId="8" borderId="1" xfId="1" applyFont="1" applyFill="1" applyBorder="1" applyAlignment="1">
      <alignment vertical="center" wrapText="1"/>
    </xf>
    <xf numFmtId="0" fontId="52" fillId="0" borderId="0" xfId="0" applyFont="1" applyAlignment="1">
      <alignment vertical="center" wrapText="1"/>
    </xf>
    <xf numFmtId="0" fontId="52" fillId="6" borderId="0" xfId="0" applyFont="1" applyFill="1" applyAlignment="1">
      <alignment vertical="center" wrapText="1"/>
    </xf>
    <xf numFmtId="0" fontId="52" fillId="7" borderId="0" xfId="0" applyFont="1" applyFill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1" fillId="0" borderId="0" xfId="0" applyFont="1" applyAlignment="1">
      <alignment vertical="center" wrapText="1"/>
    </xf>
    <xf numFmtId="0" fontId="11" fillId="6" borderId="1" xfId="0" applyFont="1" applyFill="1" applyBorder="1" applyAlignment="1">
      <alignment vertical="center" wrapText="1"/>
    </xf>
    <xf numFmtId="0" fontId="11" fillId="6" borderId="0" xfId="0" applyFont="1" applyFill="1" applyAlignment="1">
      <alignment vertical="center" wrapText="1"/>
    </xf>
    <xf numFmtId="0" fontId="11" fillId="8" borderId="1" xfId="0" applyFont="1" applyFill="1" applyBorder="1" applyAlignment="1">
      <alignment vertical="center" wrapText="1"/>
    </xf>
    <xf numFmtId="0" fontId="6" fillId="7" borderId="1" xfId="0" applyFont="1" applyFill="1" applyBorder="1" applyAlignment="1">
      <alignment vertical="center" wrapText="1"/>
    </xf>
    <xf numFmtId="0" fontId="11" fillId="7" borderId="1" xfId="0" applyFont="1" applyFill="1" applyBorder="1" applyAlignment="1">
      <alignment vertical="center" wrapText="1"/>
    </xf>
    <xf numFmtId="0" fontId="11" fillId="7" borderId="0" xfId="0" applyFont="1" applyFill="1" applyAlignment="1">
      <alignment vertical="center" wrapText="1"/>
    </xf>
    <xf numFmtId="165" fontId="52" fillId="0" borderId="0" xfId="0" applyNumberFormat="1" applyFont="1" applyAlignment="1">
      <alignment vertical="center" wrapText="1"/>
    </xf>
    <xf numFmtId="165" fontId="52" fillId="0" borderId="0" xfId="0" applyNumberFormat="1" applyFont="1" applyAlignment="1">
      <alignment horizontal="center" vertical="center" wrapText="1"/>
    </xf>
    <xf numFmtId="0" fontId="56" fillId="6" borderId="2" xfId="0" applyFont="1" applyFill="1" applyBorder="1" applyAlignment="1">
      <alignment horizontal="center" vertical="center" wrapText="1"/>
    </xf>
    <xf numFmtId="0" fontId="56" fillId="6" borderId="3" xfId="0" applyFont="1" applyFill="1" applyBorder="1" applyAlignment="1">
      <alignment horizontal="center" vertical="center" wrapText="1"/>
    </xf>
    <xf numFmtId="0" fontId="56" fillId="6" borderId="4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38" fillId="0" borderId="1" xfId="0" applyFont="1" applyBorder="1" applyAlignment="1">
      <alignment horizontal="left" vertical="center" wrapText="1"/>
    </xf>
    <xf numFmtId="0" fontId="52" fillId="0" borderId="0" xfId="0" applyFont="1" applyAlignment="1">
      <alignment horizontal="left" vertical="center" wrapText="1"/>
    </xf>
    <xf numFmtId="0" fontId="27" fillId="7" borderId="1" xfId="0" applyFont="1" applyFill="1" applyBorder="1" applyAlignment="1">
      <alignment vertical="center" wrapText="1"/>
    </xf>
    <xf numFmtId="0" fontId="32" fillId="7" borderId="1" xfId="0" applyFont="1" applyFill="1" applyBorder="1" applyAlignment="1">
      <alignment vertical="center" wrapText="1"/>
    </xf>
    <xf numFmtId="0" fontId="55" fillId="7" borderId="1" xfId="0" applyFont="1" applyFill="1" applyBorder="1" applyAlignment="1">
      <alignment vertical="center" wrapText="1"/>
    </xf>
    <xf numFmtId="0" fontId="30" fillId="7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vertical="center" wrapText="1"/>
    </xf>
    <xf numFmtId="0" fontId="28" fillId="6" borderId="5" xfId="0" applyFont="1" applyFill="1" applyBorder="1" applyAlignment="1">
      <alignment vertical="center" wrapText="1"/>
    </xf>
    <xf numFmtId="0" fontId="28" fillId="6" borderId="6" xfId="0" applyFont="1" applyFill="1" applyBorder="1" applyAlignment="1">
      <alignment vertical="center" wrapText="1"/>
    </xf>
    <xf numFmtId="0" fontId="28" fillId="6" borderId="7" xfId="0" applyFont="1" applyFill="1" applyBorder="1" applyAlignment="1">
      <alignment vertical="center" wrapText="1"/>
    </xf>
    <xf numFmtId="0" fontId="30" fillId="6" borderId="1" xfId="0" applyFont="1" applyFill="1" applyBorder="1" applyAlignment="1">
      <alignment vertical="center" wrapText="1"/>
    </xf>
    <xf numFmtId="0" fontId="54" fillId="6" borderId="1" xfId="0" applyFont="1" applyFill="1" applyBorder="1" applyAlignment="1">
      <alignment vertical="center" wrapText="1"/>
    </xf>
    <xf numFmtId="0" fontId="52" fillId="6" borderId="1" xfId="0" applyFont="1" applyFill="1" applyBorder="1" applyAlignment="1">
      <alignment vertical="center" wrapText="1"/>
    </xf>
    <xf numFmtId="0" fontId="32" fillId="6" borderId="1" xfId="0" applyFont="1" applyFill="1" applyBorder="1" applyAlignment="1">
      <alignment vertical="center" wrapText="1"/>
    </xf>
    <xf numFmtId="0" fontId="55" fillId="6" borderId="1" xfId="0" applyFont="1" applyFill="1" applyBorder="1" applyAlignment="1">
      <alignment vertical="center" wrapText="1"/>
    </xf>
    <xf numFmtId="0" fontId="54" fillId="6" borderId="1" xfId="0" applyFont="1" applyFill="1" applyBorder="1" applyAlignment="1">
      <alignment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3" xfId="0" applyFont="1" applyFill="1" applyBorder="1" applyAlignment="1">
      <alignment horizontal="left" vertical="center" wrapText="1"/>
    </xf>
    <xf numFmtId="0" fontId="56" fillId="7" borderId="2" xfId="0" applyFont="1" applyFill="1" applyBorder="1" applyAlignment="1">
      <alignment horizontal="center" vertical="center" wrapText="1"/>
    </xf>
    <xf numFmtId="0" fontId="56" fillId="7" borderId="3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vertical="center" wrapText="1"/>
    </xf>
    <xf numFmtId="0" fontId="6" fillId="7" borderId="1" xfId="0" applyFont="1" applyFill="1" applyBorder="1" applyAlignment="1">
      <alignment vertical="center" wrapText="1"/>
    </xf>
    <xf numFmtId="0" fontId="52" fillId="7" borderId="1" xfId="0" applyFont="1" applyFill="1" applyBorder="1" applyAlignment="1">
      <alignment vertical="center" wrapText="1"/>
    </xf>
    <xf numFmtId="0" fontId="9" fillId="8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robotshop.com/en/hokuyo-ust-10lx-scanning-laser-rangefinder.html" TargetMode="External"/><Relationship Id="rId18" Type="http://schemas.openxmlformats.org/officeDocument/2006/relationships/hyperlink" Target="https://www.amazon.com/Antenna-MHF4-IPEX-Wireless-Repeater/dp/B07V1W759Z/ref=as_li_ss_tl?dchild=1&amp;keywords=7dBi+2.4GHz+5GHz+5.8G+Dual+Band+WiFi+RP-SMA+Male+High+Gain+Antenna+&amp;+MHF4+IPEX+4+to+RP+SMA+Female+Cable+Antenna+for+NGFF+M.2+AX200+9260+WiFi+Card+Wireless+Routers+PC+Repeater+Desktop+PC+FPV+UAV+Drone&amp;qid=1599076820&amp;sr=8-1&amp;linkCode=sl1&amp;tag=jetsonhacks-20&amp;linkId=b71a94c6b3d354e2289b3843f50d3feb&amp;language=en_US" TargetMode="External"/><Relationship Id="rId26" Type="http://schemas.openxmlformats.org/officeDocument/2006/relationships/hyperlink" Target="https://a.co/d/04M3SdSJ" TargetMode="External"/><Relationship Id="rId39" Type="http://schemas.openxmlformats.org/officeDocument/2006/relationships/hyperlink" Target="https://a.co/d/0bI2TfQP" TargetMode="External"/><Relationship Id="rId21" Type="http://schemas.openxmlformats.org/officeDocument/2006/relationships/hyperlink" Target="https://trampaboards.com/maytech-to-vesc-150mm-ppm-extension-cable--silicon-cable-24-awg-blackredwhite-p-24329.html" TargetMode="External"/><Relationship Id="rId34" Type="http://schemas.openxmlformats.org/officeDocument/2006/relationships/hyperlink" Target="https://eu.robotshop.com/products/lakibeam-1-dtof-industry-grade-single-line-lidar" TargetMode="External"/><Relationship Id="rId42" Type="http://schemas.openxmlformats.org/officeDocument/2006/relationships/hyperlink" Target="https://amzn.eu/d/0ak3Mr9H" TargetMode="External"/><Relationship Id="rId47" Type="http://schemas.openxmlformats.org/officeDocument/2006/relationships/hyperlink" Target="https://amzn.eu/d/03RNgWbz" TargetMode="External"/><Relationship Id="rId50" Type="http://schemas.openxmlformats.org/officeDocument/2006/relationships/hyperlink" Target="https://orders.ambimat.com/product/roboracer-power-board-multi-qty-rohs-compliant/" TargetMode="External"/><Relationship Id="rId7" Type="http://schemas.openxmlformats.org/officeDocument/2006/relationships/hyperlink" Target="https://www.mcmaster.com/94868A009" TargetMode="External"/><Relationship Id="rId2" Type="http://schemas.openxmlformats.org/officeDocument/2006/relationships/hyperlink" Target="https://traxxas.com/products/landing/fiesta-st-rally-vxl/" TargetMode="External"/><Relationship Id="rId16" Type="http://schemas.openxmlformats.org/officeDocument/2006/relationships/hyperlink" Target="https://a.co/d/08r6C0zE" TargetMode="External"/><Relationship Id="rId29" Type="http://schemas.openxmlformats.org/officeDocument/2006/relationships/hyperlink" Target="https://drive.google.com/drive/folders/1NU4FZzvMEGKCOFzDBvnjyePnnSMvsZPG?usp=drive_link" TargetMode="External"/><Relationship Id="rId11" Type="http://schemas.openxmlformats.org/officeDocument/2006/relationships/hyperlink" Target="https://www.mcmaster.com/95947A005/" TargetMode="External"/><Relationship Id="rId24" Type="http://schemas.openxmlformats.org/officeDocument/2006/relationships/hyperlink" Target="https://www.amainhobbies.com/bullet-adapter-4mm-male-3.5mm-female-3-gpmm3123/p608341" TargetMode="External"/><Relationship Id="rId32" Type="http://schemas.openxmlformats.org/officeDocument/2006/relationships/hyperlink" Target="https://eu.robotshop.com/products/orbbec-pulsar-sl450-single-line-lidar-robotic-navigation" TargetMode="External"/><Relationship Id="rId37" Type="http://schemas.openxmlformats.org/officeDocument/2006/relationships/hyperlink" Target="https://amzn.eu/d/0934urF9" TargetMode="External"/><Relationship Id="rId40" Type="http://schemas.openxmlformats.org/officeDocument/2006/relationships/hyperlink" Target="https://amzn.eu/d/04H49Gdl" TargetMode="External"/><Relationship Id="rId45" Type="http://schemas.openxmlformats.org/officeDocument/2006/relationships/hyperlink" Target="https://trampaboards.com/maytech-to-vesc-150mm-ppm-extension-cable--silicon-cable-24-awg-blackredwhite-p-24329.html" TargetMode="External"/><Relationship Id="rId5" Type="http://schemas.openxmlformats.org/officeDocument/2006/relationships/hyperlink" Target="https://a.co/d/0ePVll7A" TargetMode="External"/><Relationship Id="rId15" Type="http://schemas.openxmlformats.org/officeDocument/2006/relationships/hyperlink" Target="https://a.co/d/0gqCuJEP" TargetMode="External"/><Relationship Id="rId23" Type="http://schemas.openxmlformats.org/officeDocument/2006/relationships/hyperlink" Target="https://a.co/d/0hjc5X8u" TargetMode="External"/><Relationship Id="rId28" Type="http://schemas.openxmlformats.org/officeDocument/2006/relationships/hyperlink" Target="https://www.arrow.com/en/products/945-13766-0000-000/nvidia.html" TargetMode="External"/><Relationship Id="rId36" Type="http://schemas.openxmlformats.org/officeDocument/2006/relationships/hyperlink" Target="https://amzn.eu/d/04ogTQuG" TargetMode="External"/><Relationship Id="rId49" Type="http://schemas.openxmlformats.org/officeDocument/2006/relationships/hyperlink" Target="https://trampaboards.com/vesc-6-mkv-in-cnc-t6-silicone-sealed-aluminium-box-with-genuine-xt90-connectors--vedder-electronic-speed-controller-trampa-special-p-27536.html" TargetMode="External"/><Relationship Id="rId10" Type="http://schemas.openxmlformats.org/officeDocument/2006/relationships/hyperlink" Target="https://www.mcmaster.com/94500A213/" TargetMode="External"/><Relationship Id="rId19" Type="http://schemas.openxmlformats.org/officeDocument/2006/relationships/hyperlink" Target="https://store.realsenseai.com/buy-intel-realsense-depth-camera-d435i.html" TargetMode="External"/><Relationship Id="rId31" Type="http://schemas.openxmlformats.org/officeDocument/2006/relationships/hyperlink" Target="https://www.robotshop.com/en/hokuyo-ust-10lx-scanning-laser-rangefinder.html" TargetMode="External"/><Relationship Id="rId44" Type="http://schemas.openxmlformats.org/officeDocument/2006/relationships/hyperlink" Target="https://amzn.eu/d/096zo9ar" TargetMode="External"/><Relationship Id="rId52" Type="http://schemas.openxmlformats.org/officeDocument/2006/relationships/hyperlink" Target="https://orders.ambimat.com/product/f1tenth-power-board-rohs-com-multipliant/" TargetMode="External"/><Relationship Id="rId4" Type="http://schemas.openxmlformats.org/officeDocument/2006/relationships/hyperlink" Target="https://drive.google.com/drive/folders/1NU4FZzvMEGKCOFzDBvnjyePnnSMvsZPG?usp=drive_link" TargetMode="External"/><Relationship Id="rId9" Type="http://schemas.openxmlformats.org/officeDocument/2006/relationships/hyperlink" Target="https://www.mcmaster.com/94868A190" TargetMode="External"/><Relationship Id="rId14" Type="http://schemas.openxmlformats.org/officeDocument/2006/relationships/hyperlink" Target="https://a.co/d/04eI03bz" TargetMode="External"/><Relationship Id="rId22" Type="http://schemas.openxmlformats.org/officeDocument/2006/relationships/hyperlink" Target="https://www.amazon.com/FUERAN-DP-DisplayPort-emulator-2560x1600/dp/B071CGCTMY/ref=sr_1_1_sspa?crid=14AY29OV7GI7J&amp;dib=eyJ2IjoiMSJ9.Nzn1r1ELg1nz3QfKElQDdR5Ki8mvEs-7rtHL2pdHoxp8QRd4r7m0xn08kWOAS2eHMM9W9X-Z_Sbt1gaplwMw2dbNX-If8Z6rl9dJTs7QQcE5Dr3v_vqY4eNv81s6QZOK872dyUFU5IZ3MrhLtD5UmszxscCMqhty5VS4p9D0WCsx-Cfyk11fDAw6sdqHVSlaCuW3IoK0i8_GrkO63iAEKkidFCNS6Wlis6INdyeGFdg.syehI3t7uokfanpuBaxCdSpwbEn5mHRbN2fnL1qDF8U&amp;dib_tag=se&amp;keywords=display+port+emulator&amp;qid=1718041775&amp;sprefix=display+por+emulator%2Caps%2C72&amp;sr=8-1-spons&amp;sp_csd=d2lkZ2V0TmFtZT1zcF9hdGY&amp;psc=1" TargetMode="External"/><Relationship Id="rId27" Type="http://schemas.openxmlformats.org/officeDocument/2006/relationships/hyperlink" Target="https://www.sparkfun.com/products/22098" TargetMode="External"/><Relationship Id="rId30" Type="http://schemas.openxmlformats.org/officeDocument/2006/relationships/hyperlink" Target="https://drive.google.com/drive/folders/1sy-XiJJ4hmhEKf5qQbUaPYY6Aw-L31Gk?usp=drive_link" TargetMode="External"/><Relationship Id="rId35" Type="http://schemas.openxmlformats.org/officeDocument/2006/relationships/hyperlink" Target="https://amzn.eu/d/0idbDFfg" TargetMode="External"/><Relationship Id="rId43" Type="http://schemas.openxmlformats.org/officeDocument/2006/relationships/hyperlink" Target="https://amzn.eu/d/0g7w5ZpY" TargetMode="External"/><Relationship Id="rId48" Type="http://schemas.openxmlformats.org/officeDocument/2006/relationships/hyperlink" Target="https://amzn.eu/d/0imA4WsT" TargetMode="External"/><Relationship Id="rId8" Type="http://schemas.openxmlformats.org/officeDocument/2006/relationships/hyperlink" Target="https://www.mcmaster.com/94868A013" TargetMode="External"/><Relationship Id="rId51" Type="http://schemas.openxmlformats.org/officeDocument/2006/relationships/hyperlink" Target="https://trampaboards.com/vesc-6-mkv-in-cnc-t6-silicone-sealed-aluminium-box-with-genuine-xt90-connectors--vedder-electronic-speed-controller-trampa-special-p-27536.html" TargetMode="External"/><Relationship Id="rId3" Type="http://schemas.openxmlformats.org/officeDocument/2006/relationships/hyperlink" Target="https://a.co/d/07viD7OJ" TargetMode="External"/><Relationship Id="rId12" Type="http://schemas.openxmlformats.org/officeDocument/2006/relationships/hyperlink" Target="https://a.co/d/0fV5xrP8" TargetMode="External"/><Relationship Id="rId17" Type="http://schemas.openxmlformats.org/officeDocument/2006/relationships/hyperlink" Target="https://a.co/d/04z1CrzG" TargetMode="External"/><Relationship Id="rId25" Type="http://schemas.openxmlformats.org/officeDocument/2006/relationships/hyperlink" Target="https://drive.google.com/drive/folders/1sy-XiJJ4hmhEKf5qQbUaPYY6Aw-L31Gk?usp=drive_link" TargetMode="External"/><Relationship Id="rId33" Type="http://schemas.openxmlformats.org/officeDocument/2006/relationships/hyperlink" Target="https://eu.robotshop.com/products/lakibeam-1l-dtof-industry-grade-single-line-lidar" TargetMode="External"/><Relationship Id="rId38" Type="http://schemas.openxmlformats.org/officeDocument/2006/relationships/hyperlink" Target="https://a.co/d/0aQPatBC" TargetMode="External"/><Relationship Id="rId46" Type="http://schemas.openxmlformats.org/officeDocument/2006/relationships/hyperlink" Target="https://amzn.eu/d/09g0oNKo" TargetMode="External"/><Relationship Id="rId20" Type="http://schemas.openxmlformats.org/officeDocument/2006/relationships/hyperlink" Target="https://www.amazon.com/DIKAVS-Break-Headers-Header-Connector/dp/B076F64ZCJ/ref=sr_1_20?keywords=header+pins&amp;link_code=qs&amp;qid=1583274210&amp;sr=8-20" TargetMode="External"/><Relationship Id="rId41" Type="http://schemas.openxmlformats.org/officeDocument/2006/relationships/hyperlink" Target="https://amzn.eu/d/0ibdH4zI" TargetMode="External"/><Relationship Id="rId1" Type="http://schemas.openxmlformats.org/officeDocument/2006/relationships/hyperlink" Target="https://traxxas.com/68277-4-slash-4x4-vxl-ultimate" TargetMode="External"/><Relationship Id="rId6" Type="http://schemas.openxmlformats.org/officeDocument/2006/relationships/hyperlink" Target="https://www.amazon.com/iExcell-Stainless-Socket-Screws-Assortment/dp/B07SBQ1JX5/ref=sr_1_5?crid=1NZXVWZG931FW&amp;keywords=m5+socket+head&amp;qid=1583273500&amp;s=industrial&amp;sprefix=m5+socket%2Cindustrial%2C134&amp;sr=1-5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om/iExcell-Stainless-Socket-Screws-Assortment/dp/B07SBQ1JX5/ref=sr_1_5?crid=1NZXVWZG931FW&amp;keywords=m5+socket+head&amp;qid=1583273500&amp;s=industrial&amp;sprefix=m5+socket%2Cindustrial%2C134&amp;sr=1-5" TargetMode="External"/><Relationship Id="rId13" Type="http://schemas.openxmlformats.org/officeDocument/2006/relationships/hyperlink" Target="https://www.mcmaster.com/95947A005/" TargetMode="External"/><Relationship Id="rId18" Type="http://schemas.openxmlformats.org/officeDocument/2006/relationships/hyperlink" Target="https://orders.ambimat.com/product/f1tenth-power-board-rohs-com-multipliant/" TargetMode="External"/><Relationship Id="rId26" Type="http://schemas.openxmlformats.org/officeDocument/2006/relationships/hyperlink" Target="https://store.realsenseai.com/buy-intel-realsense-depth-camera-d435i.html" TargetMode="External"/><Relationship Id="rId3" Type="http://schemas.openxmlformats.org/officeDocument/2006/relationships/hyperlink" Target="https://a.co/d/07viD7OJ" TargetMode="External"/><Relationship Id="rId21" Type="http://schemas.openxmlformats.org/officeDocument/2006/relationships/hyperlink" Target="https://a.co/d/04eI03bz" TargetMode="External"/><Relationship Id="rId7" Type="http://schemas.openxmlformats.org/officeDocument/2006/relationships/hyperlink" Target="https://a.co/d/0ePVll7A" TargetMode="External"/><Relationship Id="rId12" Type="http://schemas.openxmlformats.org/officeDocument/2006/relationships/hyperlink" Target="https://www.mcmaster.com/94500A213/" TargetMode="External"/><Relationship Id="rId17" Type="http://schemas.openxmlformats.org/officeDocument/2006/relationships/hyperlink" Target="https://www.robotshop.com/en/hokuyo-ust-10lx-scanning-laser-rangefinder.html" TargetMode="External"/><Relationship Id="rId25" Type="http://schemas.openxmlformats.org/officeDocument/2006/relationships/hyperlink" Target="https://www.amazon.com/Antenna-MHF4-IPEX-Wireless-Repeater/dp/B07V1W759Z/ref=as_li_ss_tl?dchild=1&amp;keywords=7dBi+2.4GHz+5GHz+5.8G+Dual+Band+WiFi+RP-SMA+Male+High+Gain+Antenna+&amp;+MHF4+IPEX+4+to+RP+SMA+Female+Cable+Antenna+for+NGFF+M.2+AX200+9260+WiFi+Card+Wireless+Routers+PC+Repeater+Desktop+PC+FPV+UAV+Drone&amp;qid=1599076820&amp;sr=8-1&amp;linkCode=sl1&amp;tag=jetsonhacks-20&amp;linkId=b71a94c6b3d354e2289b3843f50d3feb&amp;language=en_US" TargetMode="External"/><Relationship Id="rId2" Type="http://schemas.openxmlformats.org/officeDocument/2006/relationships/hyperlink" Target="https://traxxas.com/products/landing/fiesta-st-rally-vxl/" TargetMode="External"/><Relationship Id="rId16" Type="http://schemas.openxmlformats.org/officeDocument/2006/relationships/hyperlink" Target="https://www.sick.com/us/en/catalog/products/lidar-and-radar-sensors/lidar-sensors/tim/tim571-2050101/p/p412444)" TargetMode="External"/><Relationship Id="rId20" Type="http://schemas.openxmlformats.org/officeDocument/2006/relationships/hyperlink" Target="https://www.amazon.com/dp/B0125JFATY?ref_=cm_sw_r_cp_ud_dp_G02PWZHS0QYTE05B0CMV" TargetMode="External"/><Relationship Id="rId29" Type="http://schemas.openxmlformats.org/officeDocument/2006/relationships/hyperlink" Target="https://trampaboards.com/maytech-to-vesc-150mm-ppm-extension-cable--silicon-cable-24-awg-blackredwhite-p-24329.html" TargetMode="External"/><Relationship Id="rId1" Type="http://schemas.openxmlformats.org/officeDocument/2006/relationships/hyperlink" Target="https://traxxas.com/68277-4-slash-4x4-vxl-ultimate" TargetMode="External"/><Relationship Id="rId6" Type="http://schemas.openxmlformats.org/officeDocument/2006/relationships/hyperlink" Target="https://drive.google.com/drive/folders/1NU4FZzvMEGKCOFzDBvnjyePnnSMvsZPG?usp=drive_link" TargetMode="External"/><Relationship Id="rId11" Type="http://schemas.openxmlformats.org/officeDocument/2006/relationships/hyperlink" Target="https://www.mcmaster.com/94868A190" TargetMode="External"/><Relationship Id="rId24" Type="http://schemas.openxmlformats.org/officeDocument/2006/relationships/hyperlink" Target="https://a.co/d/04z1CrzG" TargetMode="External"/><Relationship Id="rId32" Type="http://schemas.openxmlformats.org/officeDocument/2006/relationships/hyperlink" Target="https://www.amainhobbies.com/bullet-adapter-4mm-male-3.5mm-female-3-gpmm3123/p608341" TargetMode="External"/><Relationship Id="rId5" Type="http://schemas.openxmlformats.org/officeDocument/2006/relationships/hyperlink" Target="https://drive.google.com/drive/folders/1sy-XiJJ4hmhEKf5qQbUaPYY6Aw-L31Gk?usp=drive_link" TargetMode="External"/><Relationship Id="rId15" Type="http://schemas.openxmlformats.org/officeDocument/2006/relationships/hyperlink" Target="https://a.co/d/0fV5xrP8" TargetMode="External"/><Relationship Id="rId23" Type="http://schemas.openxmlformats.org/officeDocument/2006/relationships/hyperlink" Target="https://a.co/d/08r6C0zE" TargetMode="External"/><Relationship Id="rId28" Type="http://schemas.openxmlformats.org/officeDocument/2006/relationships/hyperlink" Target="https://www.adafruit.com/product/3893" TargetMode="External"/><Relationship Id="rId10" Type="http://schemas.openxmlformats.org/officeDocument/2006/relationships/hyperlink" Target="https://www.mcmaster.com/94868A013" TargetMode="External"/><Relationship Id="rId19" Type="http://schemas.openxmlformats.org/officeDocument/2006/relationships/hyperlink" Target="https://trampaboards.com/vesc-6-mkv-in-cnc-t6-silicone-sealed-aluminium-box-with-genuine-xt90-connectors--vedder-electronic-speed-controller-trampa-special-p-27536.html" TargetMode="External"/><Relationship Id="rId31" Type="http://schemas.openxmlformats.org/officeDocument/2006/relationships/hyperlink" Target="https://a.co/d/0hjc5X8u" TargetMode="External"/><Relationship Id="rId4" Type="http://schemas.openxmlformats.org/officeDocument/2006/relationships/hyperlink" Target="https://a.co/d/04M3SdSJ" TargetMode="External"/><Relationship Id="rId9" Type="http://schemas.openxmlformats.org/officeDocument/2006/relationships/hyperlink" Target="https://www.mcmaster.com/94868A009" TargetMode="External"/><Relationship Id="rId14" Type="http://schemas.openxmlformats.org/officeDocument/2006/relationships/hyperlink" Target="https://www.sparkfun.com/products/22098" TargetMode="External"/><Relationship Id="rId22" Type="http://schemas.openxmlformats.org/officeDocument/2006/relationships/hyperlink" Target="https://a.co/d/0gqCuJEP" TargetMode="External"/><Relationship Id="rId27" Type="http://schemas.openxmlformats.org/officeDocument/2006/relationships/hyperlink" Target="https://www.amazon.com/DIKAVS-Break-Headers-Header-Connector/dp/B076F64ZCJ/ref=sr_1_20?keywords=header+pins&amp;link_code=qs&amp;qid=1583274210&amp;sr=8-20" TargetMode="External"/><Relationship Id="rId30" Type="http://schemas.openxmlformats.org/officeDocument/2006/relationships/hyperlink" Target="https://www.amazon.com/FUERAN-DP-DisplayPort-emulator-2560x1600/dp/B071CGCTMY/ref=sr_1_1_sspa?crid=14AY29OV7GI7J&amp;dib=eyJ2IjoiMSJ9.Nzn1r1ELg1nz3QfKElQDdR5Ki8mvEs-7rtHL2pdHoxp8QRd4r7m0xn08kWOAS2eHMM9W9X-Z_Sbt1gaplwMw2dbNX-If8Z6rl9dJTs7QQcE5Dr3v_vqY4eNv81s6QZOK872dyUFU5IZ3MrhLtD5UmszxscCMqhty5VS4p9D0WCsx-Cfyk11fDAw6sdqHVSlaCuW3IoK0i8_GrkO63iAEKkidFCNS6Wlis6INdyeGFdg.syehI3t7uokfanpuBaxCdSpwbEn5mHRbN2fnL1qDF8U&amp;dib_tag=se&amp;keywords=display+port+emulator&amp;qid=1718041775&amp;sprefix=display+por+emulator%2Caps%2C72&amp;sr=8-1-spons&amp;sp_csd=d2lkZ2V0TmFtZT1zcF9hdGY&amp;psc=1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trackmateracing.com/shop/en/r-c-lap-counter-transponder-system/122-759-rc-lap-counter.html" TargetMode="External"/><Relationship Id="rId3" Type="http://schemas.openxmlformats.org/officeDocument/2006/relationships/hyperlink" Target="https://www.ifixit.com/Store/Tools/T3-Torx-Screwdriver/IF145-041-2" TargetMode="External"/><Relationship Id="rId7" Type="http://schemas.openxmlformats.org/officeDocument/2006/relationships/hyperlink" Target="https://nextleveltiming.com/" TargetMode="External"/><Relationship Id="rId2" Type="http://schemas.openxmlformats.org/officeDocument/2006/relationships/hyperlink" Target="https://www.hnstools.com/klein-tools-slim-jaw-adjustable-wrench-d86932/detail" TargetMode="External"/><Relationship Id="rId1" Type="http://schemas.openxmlformats.org/officeDocument/2006/relationships/hyperlink" Target="https://www.amazon.com/HORUSDY-100-Piece-Screwdriver-screwdriver-Electrician/dp/B07BT2VPTV/ref=sr_1_18?keywords=screwdriver+set&amp;qid=1547760416&amp;s=Home+Improvement&amp;sr=1-18" TargetMode="External"/><Relationship Id="rId6" Type="http://schemas.openxmlformats.org/officeDocument/2006/relationships/hyperlink" Target="https://www.dropbox.com/s/z07opm0f2e17y7y/F1-10%20pop-up%20racetrack.mp4?dl=0" TargetMode="External"/><Relationship Id="rId11" Type="http://schemas.openxmlformats.org/officeDocument/2006/relationships/hyperlink" Target="https://www.amazon.com/Duratrax-Tech-Deluxe-Truck-Stand/dp/B0014T74MS/ref=sr_1_8?keywords=rc+car+jack&amp;link_code=qs&amp;qid=1583767342&amp;sr=8-8" TargetMode="External"/><Relationship Id="rId5" Type="http://schemas.openxmlformats.org/officeDocument/2006/relationships/hyperlink" Target="https://drive.google.com/drive/folders/1nt0ZO4beQ2dVvx_JtG515-q1HvWNrgP5?usp=sharing" TargetMode="External"/><Relationship Id="rId10" Type="http://schemas.openxmlformats.org/officeDocument/2006/relationships/hyperlink" Target="https://www.amazon.com/AmazonBasics-RJ45-Cat-6-Ethernet-Patch-Cable-5-Feet-1-5-Meters/dp/B00N2VILDM/ref=sxin_2?crid=1MTI9ZFERYQYG&amp;keywords=ethernet+cable&amp;pd_rd_i=B00N2VILDM&amp;pd_rd_r=07517f04-f0f1-49c9-957c-3c7a7f9f0aa4&amp;pd_rd_w=TbDx5&amp;pd_rd_wg=Rcds0&amp;pf_rd_p=70355792-caa9-41b7-bbcc-bee9ee21b884&amp;pf_rd_r=P1CTKHHA2N5S84FM73E9&amp;qid=1547846839&amp;s=Electronics&amp;sprefix=ethernet%2Celectronics%2C190" TargetMode="External"/><Relationship Id="rId4" Type="http://schemas.openxmlformats.org/officeDocument/2006/relationships/hyperlink" Target="https://www.vevor.com/flexible-duct-hosing-c_10371/vevor-25ft-pvc-flexible-duct-hosing-for-exhaust-fan-12inch-w-o-bag--p_010765231905" TargetMode="External"/><Relationship Id="rId9" Type="http://schemas.openxmlformats.org/officeDocument/2006/relationships/hyperlink" Target="https://www.amazon.com/AmazonBasics-High-Speed-HDMI-Cable-1-Pack/dp/B014I8SSD0/ref=sr_1_3?crid=XMSL2XRHT8JC&amp;keywords=hdmi+to+hdmi+cable&amp;qid=1547846882&amp;s=Electronics&amp;sprefix=hdmi+to+h%2Celectronics%2C198&amp;sr=1-3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product-detail/en/OSTVN02A150/ED10561-ND/1588862/?itemSeq=302805120" TargetMode="External"/><Relationship Id="rId3" Type="http://schemas.openxmlformats.org/officeDocument/2006/relationships/hyperlink" Target="https://www.digikey.com/product-detail/en/FG16X7R2A334KNT06/445-181227-1-ND/9740707/?itemSeq=302805131" TargetMode="External"/><Relationship Id="rId7" Type="http://schemas.openxmlformats.org/officeDocument/2006/relationships/hyperlink" Target="https://www.digikey.com/product-detail/en/PDQ30-Q24-S12-D/102-3892-ND/6165425/?itemSeq=302805124" TargetMode="External"/><Relationship Id="rId2" Type="http://schemas.openxmlformats.org/officeDocument/2006/relationships/hyperlink" Target="https://www.digikey.com/product-detail/en/CF14JT560R/CF14JT560RCT-ND/1830344/?itemSeq=302805132" TargetMode="External"/><Relationship Id="rId1" Type="http://schemas.openxmlformats.org/officeDocument/2006/relationships/hyperlink" Target="https://tinyurl.com/f110powerboard2019" TargetMode="External"/><Relationship Id="rId6" Type="http://schemas.openxmlformats.org/officeDocument/2006/relationships/hyperlink" Target="https://www.digikey.com/product-detail/en/BA7808CP-E2/BA7808CP-E2CT-ND/2357332/?itemSeq=302805130" TargetMode="External"/><Relationship Id="rId5" Type="http://schemas.openxmlformats.org/officeDocument/2006/relationships/hyperlink" Target="https://www.digikey.com/product-detail/en/UVR1H100MDD1TD/493-5915-1-ND/3438479/?itemSeq=302805129" TargetMode="External"/><Relationship Id="rId10" Type="http://schemas.openxmlformats.org/officeDocument/2006/relationships/hyperlink" Target="https://www.digikey.com/product-detail/en/B4B-XH-A(LF)(SN)/455-2249-ND/1651047/?itemSeq=302805122" TargetMode="External"/><Relationship Id="rId4" Type="http://schemas.openxmlformats.org/officeDocument/2006/relationships/hyperlink" Target="https://www.digikey.com/product-detail/en/ECA-1HM101/P5182-ND/245041/?itemSeq=302805123" TargetMode="External"/><Relationship Id="rId9" Type="http://schemas.openxmlformats.org/officeDocument/2006/relationships/hyperlink" Target="https://www.digikey.com/product-detail/en/M2011S2A1W01/360-3240-ND/1049342/?itemSeq=3028051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821E2-9CB7-1142-829C-9C11CEAC1FCE}">
  <sheetPr>
    <outlinePr summaryBelow="0" summaryRight="0"/>
  </sheetPr>
  <dimension ref="A1:AC243"/>
  <sheetViews>
    <sheetView tabSelected="1" zoomScale="82" zoomScaleNormal="100" workbookViewId="0">
      <pane xSplit="1" topLeftCell="D1" activePane="topRight" state="frozen"/>
      <selection pane="topRight" activeCell="F39" sqref="F39"/>
    </sheetView>
  </sheetViews>
  <sheetFormatPr baseColWidth="10" defaultColWidth="12.6640625" defaultRowHeight="16"/>
  <cols>
    <col min="1" max="1" width="39.1640625" style="148" customWidth="1"/>
    <col min="2" max="2" width="8.83203125" style="128" customWidth="1"/>
    <col min="3" max="4" width="17.5" style="139" customWidth="1"/>
    <col min="5" max="5" width="6.33203125" style="140" customWidth="1"/>
    <col min="6" max="6" width="121.83203125" style="128" customWidth="1"/>
    <col min="7" max="7" width="136" style="78" customWidth="1"/>
    <col min="8" max="8" width="453.33203125" style="128" customWidth="1"/>
    <col min="9" max="9" width="12.6640625" style="128" customWidth="1"/>
    <col min="10" max="16384" width="12.6640625" style="128"/>
  </cols>
  <sheetData>
    <row r="1" spans="1:28" s="69" customFormat="1" ht="22">
      <c r="A1" s="70" t="s">
        <v>0</v>
      </c>
      <c r="B1" s="71" t="s">
        <v>1</v>
      </c>
      <c r="C1" s="72" t="s">
        <v>3</v>
      </c>
      <c r="D1" s="72" t="s">
        <v>180</v>
      </c>
      <c r="E1" s="117" t="s">
        <v>190</v>
      </c>
      <c r="F1" s="71" t="s">
        <v>4</v>
      </c>
      <c r="G1" s="121" t="s">
        <v>179</v>
      </c>
      <c r="H1" s="73" t="s">
        <v>178</v>
      </c>
      <c r="I1" s="71"/>
      <c r="J1" s="71"/>
      <c r="K1" s="71"/>
      <c r="L1" s="71"/>
      <c r="M1" s="71"/>
    </row>
    <row r="2" spans="1:28" ht="17">
      <c r="A2" s="74" t="s">
        <v>6</v>
      </c>
      <c r="B2" s="74"/>
      <c r="C2" s="75"/>
      <c r="D2" s="75"/>
      <c r="E2" s="118"/>
      <c r="F2" s="74"/>
      <c r="G2" s="74"/>
      <c r="H2" s="74"/>
      <c r="I2" s="76"/>
      <c r="J2" s="77"/>
      <c r="K2" s="77"/>
      <c r="L2" s="77"/>
      <c r="M2" s="77"/>
      <c r="N2" s="78"/>
    </row>
    <row r="3" spans="1:28" s="130" customFormat="1" ht="34">
      <c r="A3" s="145" t="s">
        <v>199</v>
      </c>
      <c r="B3" s="89">
        <v>1</v>
      </c>
      <c r="C3" s="90">
        <v>429.95</v>
      </c>
      <c r="D3" s="90">
        <f>B3*C3</f>
        <v>429.95</v>
      </c>
      <c r="E3" s="90" t="s">
        <v>191</v>
      </c>
      <c r="F3" s="153" t="s">
        <v>181</v>
      </c>
      <c r="G3" s="153"/>
      <c r="H3" s="104" t="s">
        <v>13</v>
      </c>
      <c r="I3" s="175"/>
      <c r="J3" s="88"/>
      <c r="K3" s="88"/>
      <c r="L3" s="88"/>
      <c r="M3" s="88"/>
      <c r="N3" s="103"/>
    </row>
    <row r="4" spans="1:28" s="129" customFormat="1" ht="17">
      <c r="A4" s="144" t="s">
        <v>16</v>
      </c>
      <c r="B4" s="84">
        <v>1</v>
      </c>
      <c r="C4" s="85">
        <v>88.99</v>
      </c>
      <c r="D4" s="85">
        <f t="shared" ref="D4:D40" si="0">B4*C4</f>
        <v>88.99</v>
      </c>
      <c r="E4" s="85" t="s">
        <v>191</v>
      </c>
      <c r="F4" s="83"/>
      <c r="G4" s="120" t="s">
        <v>202</v>
      </c>
      <c r="H4" s="98" t="s">
        <v>19</v>
      </c>
      <c r="I4" s="83"/>
      <c r="J4" s="83"/>
      <c r="K4" s="83"/>
      <c r="L4" s="83"/>
      <c r="M4" s="83"/>
      <c r="N4" s="99"/>
    </row>
    <row r="5" spans="1:28" s="130" customFormat="1" ht="17">
      <c r="A5" s="145" t="s">
        <v>21</v>
      </c>
      <c r="B5" s="89">
        <v>1</v>
      </c>
      <c r="C5" s="90">
        <v>69.989999999999995</v>
      </c>
      <c r="D5" s="90">
        <f t="shared" si="0"/>
        <v>69.989999999999995</v>
      </c>
      <c r="E5" s="90" t="s">
        <v>191</v>
      </c>
      <c r="F5" s="88"/>
      <c r="G5" s="122" t="s">
        <v>201</v>
      </c>
      <c r="H5" s="104" t="s">
        <v>23</v>
      </c>
      <c r="I5" s="88"/>
      <c r="J5" s="88"/>
      <c r="K5" s="88"/>
      <c r="L5" s="88"/>
      <c r="M5" s="88"/>
      <c r="N5" s="103"/>
    </row>
    <row r="6" spans="1:28" s="129" customFormat="1" ht="17">
      <c r="A6" s="144" t="s">
        <v>26</v>
      </c>
      <c r="B6" s="84">
        <v>1</v>
      </c>
      <c r="C6" s="85">
        <v>10</v>
      </c>
      <c r="D6" s="85">
        <f t="shared" si="0"/>
        <v>10</v>
      </c>
      <c r="E6" s="85" t="s">
        <v>191</v>
      </c>
      <c r="F6" s="83" t="s">
        <v>28</v>
      </c>
      <c r="G6" s="98" t="s">
        <v>29</v>
      </c>
      <c r="H6" s="98" t="s">
        <v>29</v>
      </c>
      <c r="I6" s="83"/>
      <c r="J6" s="83"/>
      <c r="K6" s="83"/>
      <c r="L6" s="83"/>
      <c r="M6" s="83"/>
      <c r="N6" s="99"/>
    </row>
    <row r="7" spans="1:28" s="130" customFormat="1" ht="17">
      <c r="A7" s="145" t="s">
        <v>37</v>
      </c>
      <c r="B7" s="89">
        <v>1</v>
      </c>
      <c r="C7" s="90">
        <v>20</v>
      </c>
      <c r="D7" s="90">
        <f t="shared" si="0"/>
        <v>20</v>
      </c>
      <c r="E7" s="90" t="s">
        <v>191</v>
      </c>
      <c r="F7" s="88" t="s">
        <v>38</v>
      </c>
      <c r="G7" s="104" t="s">
        <v>39</v>
      </c>
      <c r="H7" s="104" t="s">
        <v>39</v>
      </c>
      <c r="I7" s="174"/>
      <c r="J7" s="88"/>
      <c r="K7" s="88"/>
      <c r="L7" s="88"/>
      <c r="M7" s="88"/>
      <c r="N7" s="103"/>
    </row>
    <row r="8" spans="1:28" ht="17">
      <c r="A8" s="74" t="s">
        <v>45</v>
      </c>
      <c r="B8" s="74"/>
      <c r="C8" s="75"/>
      <c r="D8" s="75"/>
      <c r="E8" s="118"/>
      <c r="F8" s="74"/>
      <c r="G8" s="74"/>
      <c r="H8" s="74"/>
      <c r="I8" s="77"/>
      <c r="J8" s="77"/>
      <c r="K8" s="77"/>
      <c r="L8" s="77"/>
      <c r="M8" s="77"/>
      <c r="N8" s="78"/>
    </row>
    <row r="9" spans="1:28" s="129" customFormat="1" ht="17">
      <c r="A9" s="144" t="s">
        <v>46</v>
      </c>
      <c r="B9" s="84">
        <v>1</v>
      </c>
      <c r="C9" s="85">
        <v>20.32</v>
      </c>
      <c r="D9" s="85">
        <f t="shared" si="0"/>
        <v>20.32</v>
      </c>
      <c r="E9" s="85" t="s">
        <v>191</v>
      </c>
      <c r="F9" s="83" t="s">
        <v>184</v>
      </c>
      <c r="G9" s="125" t="s">
        <v>203</v>
      </c>
      <c r="H9" s="98" t="s">
        <v>47</v>
      </c>
      <c r="I9" s="83"/>
      <c r="J9" s="83"/>
      <c r="K9" s="83"/>
      <c r="L9" s="83"/>
      <c r="M9" s="83"/>
      <c r="N9" s="99"/>
    </row>
    <row r="10" spans="1:28" s="130" customFormat="1" ht="17">
      <c r="A10" s="145" t="s">
        <v>50</v>
      </c>
      <c r="B10" s="89">
        <v>1</v>
      </c>
      <c r="C10" s="90">
        <v>20.239999999999998</v>
      </c>
      <c r="D10" s="90">
        <f>B10*C10</f>
        <v>20.239999999999998</v>
      </c>
      <c r="E10" s="90" t="s">
        <v>191</v>
      </c>
      <c r="F10" s="88" t="s">
        <v>185</v>
      </c>
      <c r="G10" s="126" t="s">
        <v>204</v>
      </c>
      <c r="H10" s="104" t="s">
        <v>52</v>
      </c>
      <c r="I10" s="88"/>
      <c r="J10" s="88"/>
      <c r="K10" s="88"/>
      <c r="L10" s="88"/>
      <c r="M10" s="88"/>
      <c r="N10" s="103"/>
    </row>
    <row r="11" spans="1:28" s="129" customFormat="1" ht="17">
      <c r="A11" s="144" t="s">
        <v>59</v>
      </c>
      <c r="B11" s="109">
        <v>1</v>
      </c>
      <c r="C11" s="107">
        <v>12</v>
      </c>
      <c r="D11" s="107">
        <f>B11*C11</f>
        <v>12</v>
      </c>
      <c r="E11" s="100" t="s">
        <v>191</v>
      </c>
      <c r="F11" s="105" t="s">
        <v>186</v>
      </c>
      <c r="G11" s="123" t="s">
        <v>205</v>
      </c>
      <c r="H11" s="98" t="s">
        <v>60</v>
      </c>
      <c r="I11" s="83"/>
      <c r="J11" s="83"/>
      <c r="K11" s="83"/>
      <c r="L11" s="83"/>
      <c r="M11" s="83"/>
      <c r="N11" s="99"/>
    </row>
    <row r="12" spans="1:28" s="129" customFormat="1" ht="17">
      <c r="A12" s="144" t="s">
        <v>65</v>
      </c>
      <c r="B12" s="110"/>
      <c r="C12" s="108"/>
      <c r="D12" s="108"/>
      <c r="E12" s="101"/>
      <c r="F12" s="106"/>
      <c r="G12" s="124"/>
      <c r="H12" s="98" t="s">
        <v>68</v>
      </c>
      <c r="I12" s="83"/>
      <c r="J12" s="83"/>
      <c r="K12" s="83"/>
      <c r="L12" s="83"/>
      <c r="M12" s="83"/>
      <c r="N12" s="99"/>
    </row>
    <row r="13" spans="1:28" s="130" customFormat="1" ht="17">
      <c r="A13" s="145" t="s">
        <v>72</v>
      </c>
      <c r="B13" s="89">
        <v>1</v>
      </c>
      <c r="C13" s="90">
        <v>14.39</v>
      </c>
      <c r="D13" s="90">
        <f t="shared" si="0"/>
        <v>14.39</v>
      </c>
      <c r="E13" s="90" t="s">
        <v>191</v>
      </c>
      <c r="F13" s="88" t="s">
        <v>187</v>
      </c>
      <c r="G13" s="126" t="s">
        <v>206</v>
      </c>
      <c r="H13" s="104" t="s">
        <v>74</v>
      </c>
      <c r="I13" s="88"/>
      <c r="J13" s="88"/>
      <c r="K13" s="88"/>
      <c r="L13" s="88"/>
      <c r="M13" s="88"/>
      <c r="N13" s="103"/>
    </row>
    <row r="14" spans="1:28" s="129" customFormat="1" ht="34">
      <c r="A14" s="144" t="s">
        <v>79</v>
      </c>
      <c r="B14" s="84">
        <v>1</v>
      </c>
      <c r="C14" s="85">
        <v>9.7899999999999991</v>
      </c>
      <c r="D14" s="85">
        <f t="shared" si="0"/>
        <v>9.7899999999999991</v>
      </c>
      <c r="E14" s="85" t="s">
        <v>191</v>
      </c>
      <c r="F14" s="83" t="s">
        <v>188</v>
      </c>
      <c r="G14" s="125" t="s">
        <v>207</v>
      </c>
      <c r="H14" s="98" t="s">
        <v>82</v>
      </c>
      <c r="I14" s="83"/>
      <c r="J14" s="83"/>
      <c r="K14" s="83"/>
      <c r="L14" s="83"/>
      <c r="M14" s="83"/>
      <c r="N14" s="99"/>
    </row>
    <row r="15" spans="1:28" s="130" customFormat="1" ht="17">
      <c r="A15" s="145" t="s">
        <v>84</v>
      </c>
      <c r="B15" s="89">
        <v>1</v>
      </c>
      <c r="C15" s="90">
        <v>8.9</v>
      </c>
      <c r="D15" s="90">
        <f t="shared" si="0"/>
        <v>8.9</v>
      </c>
      <c r="E15" s="90" t="s">
        <v>191</v>
      </c>
      <c r="F15" s="88" t="s">
        <v>189</v>
      </c>
      <c r="G15" s="126" t="s">
        <v>208</v>
      </c>
      <c r="H15" s="104" t="s">
        <v>85</v>
      </c>
      <c r="I15" s="88"/>
      <c r="J15" s="88"/>
      <c r="K15" s="88"/>
      <c r="L15" s="88"/>
      <c r="M15" s="88"/>
      <c r="N15" s="103"/>
    </row>
    <row r="16" spans="1:28" ht="17">
      <c r="A16" s="74" t="s">
        <v>91</v>
      </c>
      <c r="B16" s="81"/>
      <c r="C16" s="82"/>
      <c r="D16" s="75"/>
      <c r="E16" s="118"/>
      <c r="F16" s="81"/>
      <c r="G16" s="81"/>
      <c r="H16" s="81"/>
      <c r="I16" s="131"/>
      <c r="J16" s="131"/>
      <c r="K16" s="131"/>
      <c r="L16" s="131"/>
      <c r="M16" s="131"/>
      <c r="N16" s="132"/>
      <c r="O16" s="132"/>
      <c r="P16" s="132"/>
      <c r="Q16" s="132"/>
      <c r="R16" s="132"/>
      <c r="S16" s="132"/>
      <c r="T16" s="132"/>
      <c r="U16" s="132"/>
      <c r="V16" s="132"/>
      <c r="W16" s="132"/>
      <c r="X16" s="132"/>
      <c r="Y16" s="132"/>
      <c r="Z16" s="132"/>
      <c r="AA16" s="132"/>
      <c r="AB16" s="132"/>
    </row>
    <row r="17" spans="1:29" s="129" customFormat="1" ht="17">
      <c r="A17" s="144" t="s">
        <v>97</v>
      </c>
      <c r="B17" s="84">
        <v>1</v>
      </c>
      <c r="C17" s="85">
        <v>355</v>
      </c>
      <c r="D17" s="85">
        <f t="shared" si="0"/>
        <v>355</v>
      </c>
      <c r="E17" s="85" t="s">
        <v>191</v>
      </c>
      <c r="F17" s="141" t="s">
        <v>183</v>
      </c>
      <c r="G17" s="125" t="s">
        <v>182</v>
      </c>
      <c r="H17" s="87" t="s">
        <v>98</v>
      </c>
      <c r="I17" s="133"/>
      <c r="J17" s="133"/>
      <c r="K17" s="133"/>
      <c r="L17" s="133"/>
      <c r="M17" s="133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34"/>
      <c r="Y17" s="134"/>
      <c r="Z17" s="134"/>
      <c r="AA17" s="134"/>
      <c r="AB17" s="134"/>
    </row>
    <row r="18" spans="1:29" s="129" customFormat="1" ht="17">
      <c r="A18" s="144"/>
      <c r="B18" s="84">
        <v>1</v>
      </c>
      <c r="C18" s="85">
        <v>529</v>
      </c>
      <c r="D18" s="85">
        <f t="shared" si="0"/>
        <v>529</v>
      </c>
      <c r="E18" s="85"/>
      <c r="F18" s="142"/>
      <c r="G18" s="125" t="s">
        <v>209</v>
      </c>
      <c r="H18" s="87"/>
      <c r="I18" s="133"/>
      <c r="J18" s="133"/>
      <c r="K18" s="133"/>
      <c r="L18" s="133"/>
      <c r="M18" s="133"/>
      <c r="N18" s="134"/>
      <c r="O18" s="134"/>
      <c r="P18" s="134"/>
      <c r="Q18" s="134"/>
      <c r="R18" s="134"/>
      <c r="S18" s="134"/>
      <c r="T18" s="134"/>
      <c r="U18" s="134"/>
      <c r="V18" s="134"/>
      <c r="W18" s="134"/>
      <c r="X18" s="134"/>
      <c r="Y18" s="134"/>
      <c r="Z18" s="134"/>
      <c r="AA18" s="134"/>
      <c r="AB18" s="134"/>
    </row>
    <row r="19" spans="1:29" s="130" customFormat="1" ht="17">
      <c r="A19" s="145" t="s">
        <v>103</v>
      </c>
      <c r="B19" s="89">
        <v>1</v>
      </c>
      <c r="C19" s="90">
        <v>99</v>
      </c>
      <c r="D19" s="90">
        <f t="shared" si="0"/>
        <v>99</v>
      </c>
      <c r="E19" s="90" t="s">
        <v>191</v>
      </c>
      <c r="F19" s="135"/>
      <c r="G19" s="127" t="s">
        <v>210</v>
      </c>
      <c r="H19" s="136" t="s">
        <v>104</v>
      </c>
      <c r="I19" s="137"/>
      <c r="J19" s="137"/>
      <c r="K19" s="137"/>
      <c r="L19" s="137"/>
      <c r="M19" s="137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  <c r="AC19" s="138"/>
    </row>
    <row r="20" spans="1:29" ht="17">
      <c r="A20" s="74" t="s">
        <v>195</v>
      </c>
      <c r="B20" s="81"/>
      <c r="C20" s="82"/>
      <c r="D20" s="75"/>
      <c r="E20" s="118"/>
      <c r="F20" s="81"/>
      <c r="G20" s="81"/>
      <c r="H20" s="81"/>
      <c r="I20" s="131"/>
      <c r="J20" s="131"/>
      <c r="K20" s="131"/>
      <c r="L20" s="131"/>
      <c r="M20" s="131"/>
      <c r="N20" s="132"/>
      <c r="O20" s="132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2"/>
      <c r="AC20" s="132"/>
    </row>
    <row r="21" spans="1:29" s="129" customFormat="1" ht="17">
      <c r="A21" s="144" t="s">
        <v>114</v>
      </c>
      <c r="B21" s="84">
        <v>1</v>
      </c>
      <c r="C21" s="85">
        <v>1200</v>
      </c>
      <c r="D21" s="85">
        <f t="shared" si="0"/>
        <v>1200</v>
      </c>
      <c r="E21" s="85"/>
      <c r="F21" s="141" t="s">
        <v>200</v>
      </c>
      <c r="G21" s="87" t="s">
        <v>134</v>
      </c>
      <c r="H21" s="87" t="s">
        <v>134</v>
      </c>
      <c r="I21" s="133"/>
      <c r="J21" s="133"/>
      <c r="K21" s="133"/>
      <c r="L21" s="133"/>
      <c r="M21" s="133"/>
      <c r="N21" s="134"/>
      <c r="O21" s="134"/>
      <c r="P21" s="134"/>
      <c r="Q21" s="134"/>
      <c r="R21" s="134"/>
      <c r="S21" s="134"/>
      <c r="T21" s="134"/>
      <c r="U21" s="134"/>
      <c r="V21" s="134"/>
      <c r="W21" s="134"/>
      <c r="X21" s="134"/>
      <c r="Y21" s="134"/>
      <c r="Z21" s="134"/>
      <c r="AA21" s="134"/>
      <c r="AB21" s="134"/>
      <c r="AC21" s="134"/>
    </row>
    <row r="22" spans="1:29" s="129" customFormat="1" ht="17">
      <c r="A22" s="144" t="s">
        <v>196</v>
      </c>
      <c r="B22" s="84">
        <v>1</v>
      </c>
      <c r="C22" s="85">
        <v>535.69000000000005</v>
      </c>
      <c r="D22" s="85">
        <f t="shared" si="0"/>
        <v>535.69000000000005</v>
      </c>
      <c r="E22" s="85" t="s">
        <v>191</v>
      </c>
      <c r="F22" s="143"/>
      <c r="G22" s="125" t="s">
        <v>192</v>
      </c>
      <c r="H22" s="87"/>
      <c r="I22" s="133"/>
      <c r="J22" s="133"/>
      <c r="K22" s="133"/>
      <c r="L22" s="133"/>
      <c r="M22" s="133"/>
      <c r="N22" s="134"/>
      <c r="O22" s="134"/>
      <c r="P22" s="134"/>
      <c r="Q22" s="134"/>
      <c r="R22" s="134"/>
      <c r="S22" s="134"/>
      <c r="T22" s="134"/>
      <c r="U22" s="134"/>
      <c r="V22" s="134"/>
      <c r="W22" s="134"/>
      <c r="X22" s="134"/>
      <c r="Y22" s="134"/>
      <c r="Z22" s="134"/>
      <c r="AA22" s="134"/>
      <c r="AB22" s="134"/>
      <c r="AC22" s="134"/>
    </row>
    <row r="23" spans="1:29" s="129" customFormat="1" ht="17">
      <c r="A23" s="144" t="s">
        <v>197</v>
      </c>
      <c r="B23" s="84">
        <v>1</v>
      </c>
      <c r="C23" s="85">
        <v>553.44000000000005</v>
      </c>
      <c r="D23" s="85">
        <f t="shared" si="0"/>
        <v>553.44000000000005</v>
      </c>
      <c r="E23" s="85"/>
      <c r="F23" s="143"/>
      <c r="G23" s="125" t="s">
        <v>193</v>
      </c>
      <c r="H23" s="87"/>
      <c r="I23" s="133"/>
      <c r="J23" s="133"/>
      <c r="K23" s="133"/>
      <c r="L23" s="133"/>
      <c r="M23" s="133"/>
      <c r="N23" s="134"/>
      <c r="O23" s="134"/>
      <c r="P23" s="134"/>
      <c r="Q23" s="134"/>
      <c r="R23" s="134"/>
      <c r="S23" s="134"/>
      <c r="T23" s="134"/>
      <c r="U23" s="134"/>
      <c r="V23" s="134"/>
      <c r="W23" s="134"/>
      <c r="X23" s="134"/>
      <c r="Y23" s="134"/>
      <c r="Z23" s="134"/>
      <c r="AA23" s="134"/>
      <c r="AB23" s="134"/>
      <c r="AC23" s="134"/>
    </row>
    <row r="24" spans="1:29" s="129" customFormat="1" ht="17">
      <c r="A24" s="144" t="s">
        <v>198</v>
      </c>
      <c r="B24" s="84">
        <v>1</v>
      </c>
      <c r="C24" s="85">
        <v>442.53</v>
      </c>
      <c r="D24" s="85">
        <f t="shared" si="0"/>
        <v>442.53</v>
      </c>
      <c r="E24" s="85"/>
      <c r="F24" s="143"/>
      <c r="G24" s="125" t="s">
        <v>194</v>
      </c>
      <c r="H24" s="87"/>
      <c r="I24" s="133"/>
      <c r="J24" s="133"/>
      <c r="K24" s="133"/>
      <c r="L24" s="133"/>
      <c r="M24" s="133"/>
      <c r="N24" s="134"/>
      <c r="O24" s="134"/>
      <c r="P24" s="134"/>
      <c r="Q24" s="134"/>
      <c r="R24" s="134"/>
      <c r="S24" s="134"/>
      <c r="T24" s="134"/>
      <c r="U24" s="134"/>
      <c r="V24" s="134"/>
      <c r="W24" s="134"/>
      <c r="X24" s="134"/>
      <c r="Y24" s="134"/>
      <c r="Z24" s="134"/>
      <c r="AA24" s="134"/>
      <c r="AB24" s="134"/>
      <c r="AC24" s="134"/>
    </row>
    <row r="25" spans="1:29" ht="17">
      <c r="A25" s="74" t="s">
        <v>137</v>
      </c>
      <c r="B25" s="81"/>
      <c r="C25" s="82"/>
      <c r="D25" s="75"/>
      <c r="E25" s="118"/>
      <c r="F25" s="81"/>
      <c r="G25" s="81"/>
      <c r="H25" s="81"/>
      <c r="I25" s="131"/>
      <c r="J25" s="131"/>
      <c r="K25" s="131"/>
      <c r="L25" s="131"/>
      <c r="M25" s="131"/>
      <c r="N25" s="132"/>
      <c r="O25" s="132"/>
      <c r="P25" s="132"/>
      <c r="Q25" s="132"/>
      <c r="R25" s="132"/>
      <c r="S25" s="132"/>
      <c r="T25" s="132"/>
      <c r="U25" s="132"/>
      <c r="V25" s="132"/>
      <c r="W25" s="132"/>
      <c r="X25" s="132"/>
      <c r="Y25" s="132"/>
      <c r="Z25" s="132"/>
      <c r="AA25" s="132"/>
      <c r="AB25" s="132"/>
      <c r="AC25" s="132"/>
    </row>
    <row r="26" spans="1:29" s="130" customFormat="1" ht="17">
      <c r="A26" s="145" t="s">
        <v>142</v>
      </c>
      <c r="B26" s="89">
        <v>1</v>
      </c>
      <c r="C26" s="90">
        <v>110</v>
      </c>
      <c r="D26" s="90">
        <f t="shared" si="0"/>
        <v>110</v>
      </c>
      <c r="E26" s="90" t="s">
        <v>191</v>
      </c>
      <c r="F26" s="137"/>
      <c r="G26" s="102" t="s">
        <v>211</v>
      </c>
      <c r="H26" s="136" t="s">
        <v>143</v>
      </c>
      <c r="I26" s="149"/>
      <c r="J26" s="149"/>
      <c r="K26" s="149"/>
      <c r="L26" s="149"/>
      <c r="M26" s="149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  <c r="AA26" s="138"/>
      <c r="AB26" s="138"/>
      <c r="AC26" s="138"/>
    </row>
    <row r="27" spans="1:29" s="129" customFormat="1" ht="28">
      <c r="A27" s="144" t="s">
        <v>144</v>
      </c>
      <c r="B27" s="84">
        <v>1</v>
      </c>
      <c r="C27" s="85">
        <v>219</v>
      </c>
      <c r="D27" s="85">
        <f t="shared" si="0"/>
        <v>219</v>
      </c>
      <c r="E27" s="85" t="s">
        <v>191</v>
      </c>
      <c r="F27" s="133"/>
      <c r="G27" s="86" t="s">
        <v>145</v>
      </c>
      <c r="H27" s="154" t="s">
        <v>145</v>
      </c>
      <c r="I27" s="155"/>
      <c r="J27" s="155"/>
      <c r="K27" s="155"/>
      <c r="L27" s="155"/>
      <c r="M27" s="156"/>
      <c r="N27" s="134"/>
      <c r="O27" s="134"/>
      <c r="P27" s="134"/>
      <c r="Q27" s="134"/>
      <c r="R27" s="134"/>
      <c r="S27" s="134"/>
      <c r="T27" s="134"/>
      <c r="U27" s="134"/>
      <c r="V27" s="134"/>
      <c r="W27" s="134"/>
      <c r="X27" s="134"/>
      <c r="Y27" s="134"/>
      <c r="Z27" s="134"/>
      <c r="AA27" s="134"/>
      <c r="AB27" s="134"/>
      <c r="AC27" s="134"/>
    </row>
    <row r="28" spans="1:29" s="130" customFormat="1" ht="17">
      <c r="A28" s="145" t="s">
        <v>146</v>
      </c>
      <c r="B28" s="89">
        <v>1</v>
      </c>
      <c r="C28" s="90">
        <v>26.29</v>
      </c>
      <c r="D28" s="90">
        <f t="shared" si="0"/>
        <v>26.29</v>
      </c>
      <c r="E28" s="90" t="s">
        <v>191</v>
      </c>
      <c r="F28" s="153"/>
      <c r="G28" s="102" t="s">
        <v>212</v>
      </c>
      <c r="H28" s="136" t="s">
        <v>148</v>
      </c>
      <c r="I28" s="137"/>
      <c r="J28" s="137"/>
      <c r="K28" s="137"/>
      <c r="L28" s="137"/>
      <c r="M28" s="137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  <c r="AA28" s="138"/>
      <c r="AB28" s="138"/>
      <c r="AC28" s="138"/>
    </row>
    <row r="29" spans="1:29" s="129" customFormat="1" ht="34">
      <c r="A29" s="144" t="s">
        <v>149</v>
      </c>
      <c r="B29" s="84">
        <v>1</v>
      </c>
      <c r="C29" s="85">
        <v>5.99</v>
      </c>
      <c r="D29" s="85">
        <f t="shared" si="0"/>
        <v>5.99</v>
      </c>
      <c r="E29" s="85" t="s">
        <v>191</v>
      </c>
      <c r="F29" s="157"/>
      <c r="G29" s="86" t="s">
        <v>213</v>
      </c>
      <c r="H29" s="158" t="s">
        <v>150</v>
      </c>
      <c r="I29" s="159"/>
      <c r="J29" s="159"/>
      <c r="K29" s="159"/>
      <c r="L29" s="133"/>
      <c r="M29" s="133"/>
      <c r="N29" s="134"/>
      <c r="O29" s="134"/>
      <c r="P29" s="134"/>
      <c r="Q29" s="134"/>
      <c r="R29" s="134"/>
      <c r="S29" s="134"/>
      <c r="T29" s="134"/>
      <c r="U29" s="134"/>
      <c r="V29" s="134"/>
      <c r="W29" s="134"/>
      <c r="X29" s="134"/>
      <c r="Y29" s="134"/>
      <c r="Z29" s="134"/>
      <c r="AA29" s="134"/>
      <c r="AB29" s="134"/>
      <c r="AC29" s="134"/>
    </row>
    <row r="30" spans="1:29" s="130" customFormat="1" ht="17">
      <c r="A30" s="145" t="s">
        <v>151</v>
      </c>
      <c r="B30" s="89">
        <v>1</v>
      </c>
      <c r="C30" s="90">
        <v>9.99</v>
      </c>
      <c r="D30" s="90">
        <f t="shared" si="0"/>
        <v>9.99</v>
      </c>
      <c r="E30" s="90" t="s">
        <v>191</v>
      </c>
      <c r="F30" s="150" t="s">
        <v>152</v>
      </c>
      <c r="G30" s="102" t="s">
        <v>214</v>
      </c>
      <c r="H30" s="151" t="s">
        <v>153</v>
      </c>
      <c r="I30" s="152"/>
      <c r="J30" s="152"/>
      <c r="K30" s="152"/>
      <c r="L30" s="137"/>
      <c r="M30" s="137"/>
      <c r="N30" s="138"/>
      <c r="O30" s="138"/>
      <c r="P30" s="138"/>
      <c r="Q30" s="138"/>
      <c r="R30" s="138"/>
      <c r="S30" s="138"/>
      <c r="T30" s="138"/>
      <c r="U30" s="138"/>
      <c r="V30" s="138"/>
      <c r="W30" s="138"/>
      <c r="X30" s="138"/>
      <c r="Y30" s="138"/>
      <c r="Z30" s="138"/>
      <c r="AA30" s="138"/>
      <c r="AB30" s="138"/>
      <c r="AC30" s="138"/>
    </row>
    <row r="31" spans="1:29" s="129" customFormat="1" ht="17">
      <c r="A31" s="144" t="s">
        <v>154</v>
      </c>
      <c r="B31" s="84">
        <v>1</v>
      </c>
      <c r="C31" s="85">
        <v>8.99</v>
      </c>
      <c r="D31" s="85">
        <f t="shared" si="0"/>
        <v>8.99</v>
      </c>
      <c r="E31" s="85" t="s">
        <v>191</v>
      </c>
      <c r="F31" s="160" t="s">
        <v>152</v>
      </c>
      <c r="G31" s="86" t="s">
        <v>215</v>
      </c>
      <c r="H31" s="161" t="s">
        <v>155</v>
      </c>
      <c r="I31" s="157"/>
      <c r="J31" s="157"/>
      <c r="K31" s="157"/>
      <c r="L31" s="133"/>
      <c r="M31" s="133"/>
      <c r="N31" s="134"/>
      <c r="O31" s="134"/>
      <c r="P31" s="134"/>
      <c r="Q31" s="134"/>
      <c r="R31" s="134"/>
      <c r="S31" s="134"/>
      <c r="T31" s="134"/>
      <c r="U31" s="134"/>
      <c r="V31" s="134"/>
      <c r="W31" s="134"/>
      <c r="X31" s="134"/>
      <c r="Y31" s="134"/>
      <c r="Z31" s="134"/>
      <c r="AA31" s="134"/>
      <c r="AB31" s="134"/>
      <c r="AC31" s="134"/>
    </row>
    <row r="32" spans="1:29" s="130" customFormat="1">
      <c r="A32" s="163" t="s">
        <v>156</v>
      </c>
      <c r="B32" s="89">
        <v>1</v>
      </c>
      <c r="C32" s="90">
        <v>20</v>
      </c>
      <c r="D32" s="90">
        <f t="shared" si="0"/>
        <v>20</v>
      </c>
      <c r="E32" s="90"/>
      <c r="F32" s="165" t="s">
        <v>218</v>
      </c>
      <c r="G32" s="102" t="s">
        <v>216</v>
      </c>
      <c r="H32" s="152" t="s">
        <v>157</v>
      </c>
      <c r="I32" s="152"/>
      <c r="J32" s="152"/>
      <c r="K32" s="152"/>
      <c r="L32" s="137"/>
      <c r="M32" s="137"/>
      <c r="N32" s="138"/>
      <c r="O32" s="138"/>
      <c r="P32" s="138"/>
      <c r="Q32" s="138"/>
      <c r="R32" s="138"/>
      <c r="S32" s="138"/>
      <c r="T32" s="138"/>
      <c r="U32" s="138"/>
      <c r="V32" s="138"/>
      <c r="W32" s="138"/>
      <c r="X32" s="138"/>
      <c r="Y32" s="138"/>
      <c r="Z32" s="138"/>
      <c r="AA32" s="138"/>
      <c r="AB32" s="138"/>
      <c r="AC32" s="138"/>
    </row>
    <row r="33" spans="1:29" s="130" customFormat="1" ht="17">
      <c r="A33" s="164"/>
      <c r="B33" s="89">
        <v>1</v>
      </c>
      <c r="C33" s="90">
        <v>15.65</v>
      </c>
      <c r="D33" s="90">
        <f t="shared" si="0"/>
        <v>15.65</v>
      </c>
      <c r="E33" s="90" t="s">
        <v>191</v>
      </c>
      <c r="F33" s="166"/>
      <c r="G33" s="102" t="s">
        <v>217</v>
      </c>
      <c r="I33" s="152"/>
      <c r="J33" s="152"/>
      <c r="K33" s="152"/>
      <c r="L33" s="137"/>
      <c r="M33" s="137"/>
      <c r="N33" s="138"/>
      <c r="O33" s="138"/>
      <c r="P33" s="138"/>
      <c r="Q33" s="138"/>
      <c r="R33" s="138"/>
      <c r="S33" s="138"/>
      <c r="T33" s="138"/>
      <c r="U33" s="138"/>
      <c r="V33" s="138"/>
      <c r="W33" s="138"/>
      <c r="X33" s="138"/>
      <c r="Y33" s="138"/>
      <c r="Z33" s="138"/>
      <c r="AA33" s="138"/>
      <c r="AB33" s="138"/>
      <c r="AC33" s="138"/>
    </row>
    <row r="34" spans="1:29" s="129" customFormat="1" ht="17">
      <c r="A34" s="144" t="s">
        <v>158</v>
      </c>
      <c r="B34" s="84">
        <v>1</v>
      </c>
      <c r="C34" s="85">
        <v>405</v>
      </c>
      <c r="D34" s="85">
        <f t="shared" si="0"/>
        <v>405</v>
      </c>
      <c r="E34" s="85" t="s">
        <v>191</v>
      </c>
      <c r="F34" s="133"/>
      <c r="G34" s="86" t="s">
        <v>219</v>
      </c>
      <c r="H34" s="162" t="s">
        <v>159</v>
      </c>
      <c r="I34" s="133"/>
      <c r="J34" s="133"/>
      <c r="K34" s="133"/>
      <c r="L34" s="133"/>
      <c r="M34" s="133"/>
      <c r="N34" s="134"/>
      <c r="O34" s="134"/>
      <c r="P34" s="134"/>
      <c r="Q34" s="134"/>
      <c r="R34" s="134"/>
      <c r="S34" s="134"/>
      <c r="T34" s="134"/>
      <c r="U34" s="134"/>
      <c r="V34" s="134"/>
      <c r="W34" s="134"/>
      <c r="X34" s="134"/>
      <c r="Y34" s="134"/>
      <c r="Z34" s="134"/>
      <c r="AA34" s="134"/>
      <c r="AB34" s="134"/>
      <c r="AC34" s="134"/>
    </row>
    <row r="35" spans="1:29" ht="17">
      <c r="A35" s="74" t="s">
        <v>160</v>
      </c>
      <c r="B35" s="81"/>
      <c r="C35" s="82"/>
      <c r="D35" s="75"/>
      <c r="E35" s="118"/>
      <c r="F35" s="81"/>
      <c r="G35" s="81"/>
      <c r="H35" s="81"/>
      <c r="I35" s="131"/>
      <c r="J35" s="131"/>
      <c r="K35" s="131"/>
      <c r="L35" s="131"/>
      <c r="M35" s="131"/>
      <c r="N35" s="132"/>
      <c r="O35" s="132"/>
      <c r="P35" s="132"/>
      <c r="Q35" s="132"/>
      <c r="R35" s="132"/>
      <c r="S35" s="132"/>
      <c r="T35" s="132"/>
      <c r="U35" s="132"/>
      <c r="V35" s="132"/>
      <c r="W35" s="132"/>
      <c r="X35" s="132"/>
      <c r="Y35" s="132"/>
      <c r="Z35" s="132"/>
      <c r="AA35" s="132"/>
      <c r="AB35" s="132"/>
      <c r="AC35" s="132"/>
    </row>
    <row r="36" spans="1:29" s="130" customFormat="1" ht="17">
      <c r="A36" s="145" t="s">
        <v>161</v>
      </c>
      <c r="B36" s="89">
        <v>1</v>
      </c>
      <c r="C36" s="90">
        <v>17.43</v>
      </c>
      <c r="D36" s="90">
        <f t="shared" si="0"/>
        <v>17.43</v>
      </c>
      <c r="E36" s="90" t="s">
        <v>191</v>
      </c>
      <c r="F36" s="88" t="s">
        <v>162</v>
      </c>
      <c r="G36" s="102" t="s">
        <v>220</v>
      </c>
      <c r="H36" s="167" t="s">
        <v>163</v>
      </c>
      <c r="I36" s="137"/>
      <c r="J36" s="137"/>
      <c r="K36" s="137"/>
      <c r="L36" s="137"/>
      <c r="M36" s="137"/>
      <c r="N36" s="138"/>
      <c r="O36" s="138"/>
      <c r="P36" s="138"/>
      <c r="Q36" s="138"/>
      <c r="R36" s="138"/>
      <c r="S36" s="138"/>
      <c r="T36" s="138"/>
      <c r="U36" s="138"/>
      <c r="V36" s="138"/>
      <c r="W36" s="138"/>
      <c r="X36" s="138"/>
      <c r="Y36" s="138"/>
      <c r="Z36" s="138"/>
      <c r="AA36" s="138"/>
      <c r="AB36" s="138"/>
      <c r="AC36" s="138"/>
    </row>
    <row r="37" spans="1:29" s="129" customFormat="1" ht="17">
      <c r="A37" s="144" t="s">
        <v>164</v>
      </c>
      <c r="B37" s="84">
        <v>1</v>
      </c>
      <c r="C37" s="85">
        <v>3.38</v>
      </c>
      <c r="D37" s="85">
        <f t="shared" si="0"/>
        <v>3.38</v>
      </c>
      <c r="E37" s="85" t="s">
        <v>191</v>
      </c>
      <c r="F37" s="172"/>
      <c r="G37" s="87" t="s">
        <v>166</v>
      </c>
      <c r="H37" s="87" t="s">
        <v>166</v>
      </c>
      <c r="I37" s="133"/>
      <c r="J37" s="133"/>
      <c r="K37" s="133"/>
      <c r="L37" s="133"/>
      <c r="M37" s="133"/>
      <c r="N37" s="134"/>
      <c r="O37" s="134"/>
      <c r="P37" s="134"/>
      <c r="Q37" s="134"/>
      <c r="R37" s="134"/>
      <c r="S37" s="134"/>
      <c r="T37" s="134"/>
      <c r="U37" s="134"/>
      <c r="V37" s="134"/>
      <c r="W37" s="134"/>
      <c r="X37" s="134"/>
      <c r="Y37" s="134"/>
      <c r="Z37" s="134"/>
      <c r="AA37" s="134"/>
      <c r="AB37" s="134"/>
      <c r="AC37" s="134"/>
    </row>
    <row r="38" spans="1:29" s="130" customFormat="1" ht="17">
      <c r="A38" s="145" t="s">
        <v>167</v>
      </c>
      <c r="B38" s="89">
        <v>1</v>
      </c>
      <c r="C38" s="90">
        <v>10.39</v>
      </c>
      <c r="D38" s="90">
        <f t="shared" si="0"/>
        <v>10.39</v>
      </c>
      <c r="E38" s="90" t="s">
        <v>191</v>
      </c>
      <c r="F38" s="137"/>
      <c r="G38" s="102" t="s">
        <v>221</v>
      </c>
      <c r="H38" s="168" t="s">
        <v>168</v>
      </c>
      <c r="I38" s="169"/>
      <c r="J38" s="169"/>
      <c r="K38" s="169"/>
      <c r="L38" s="137"/>
      <c r="M38" s="137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</row>
    <row r="39" spans="1:29" s="129" customFormat="1" ht="17">
      <c r="A39" s="144" t="s">
        <v>169</v>
      </c>
      <c r="B39" s="84">
        <v>1</v>
      </c>
      <c r="C39" s="85">
        <v>7.59</v>
      </c>
      <c r="D39" s="85">
        <f t="shared" si="0"/>
        <v>7.59</v>
      </c>
      <c r="E39" s="85" t="s">
        <v>191</v>
      </c>
      <c r="F39" s="83"/>
      <c r="G39" s="86" t="s">
        <v>222</v>
      </c>
      <c r="H39" s="173" t="s">
        <v>171</v>
      </c>
      <c r="I39" s="159"/>
      <c r="J39" s="159"/>
      <c r="K39" s="159"/>
      <c r="L39" s="159"/>
      <c r="M39" s="159"/>
      <c r="N39" s="134"/>
      <c r="O39" s="134"/>
      <c r="P39" s="134"/>
      <c r="Q39" s="134"/>
      <c r="R39" s="134"/>
      <c r="S39" s="134"/>
      <c r="T39" s="134"/>
      <c r="U39" s="134"/>
      <c r="V39" s="134"/>
      <c r="W39" s="134"/>
      <c r="X39" s="134"/>
      <c r="Y39" s="134"/>
      <c r="Z39" s="134"/>
      <c r="AA39" s="134"/>
      <c r="AB39" s="134"/>
      <c r="AC39" s="134"/>
    </row>
    <row r="40" spans="1:29" s="130" customFormat="1" ht="17">
      <c r="A40" s="145" t="s">
        <v>172</v>
      </c>
      <c r="B40" s="89">
        <v>1</v>
      </c>
      <c r="C40" s="90">
        <v>13.99</v>
      </c>
      <c r="D40" s="90">
        <f t="shared" si="0"/>
        <v>13.99</v>
      </c>
      <c r="E40" s="90" t="s">
        <v>191</v>
      </c>
      <c r="F40" s="137"/>
      <c r="G40" s="102" t="s">
        <v>223</v>
      </c>
      <c r="H40" s="170" t="s">
        <v>173</v>
      </c>
      <c r="I40" s="171" t="s">
        <v>174</v>
      </c>
      <c r="J40" s="169"/>
      <c r="K40" s="137"/>
      <c r="L40" s="137"/>
      <c r="M40" s="137"/>
      <c r="N40" s="138"/>
      <c r="O40" s="138"/>
      <c r="P40" s="138"/>
      <c r="Q40" s="138"/>
      <c r="R40" s="138"/>
      <c r="S40" s="138"/>
      <c r="T40" s="138"/>
      <c r="U40" s="138"/>
      <c r="V40" s="138"/>
      <c r="W40" s="138"/>
      <c r="X40" s="138"/>
      <c r="Y40" s="138"/>
      <c r="Z40" s="138"/>
      <c r="AA40" s="138"/>
      <c r="AB40" s="138"/>
      <c r="AC40" s="138"/>
    </row>
    <row r="41" spans="1:29" ht="17">
      <c r="A41" s="146"/>
      <c r="B41" s="91" t="s">
        <v>175</v>
      </c>
      <c r="C41" s="92"/>
      <c r="D41" s="92">
        <f>SUMIF(E3:E40, "x", D3:D40)</f>
        <v>2547.9499999999994</v>
      </c>
      <c r="E41" s="119"/>
      <c r="F41" s="77" t="s">
        <v>176</v>
      </c>
      <c r="G41" s="77"/>
      <c r="H41" s="93"/>
      <c r="I41" s="77"/>
      <c r="J41" s="77"/>
      <c r="K41" s="77"/>
      <c r="L41" s="77"/>
      <c r="M41" s="77"/>
      <c r="N41" s="78"/>
    </row>
    <row r="42" spans="1:29">
      <c r="A42" s="147"/>
      <c r="B42" s="79"/>
      <c r="C42" s="80"/>
      <c r="D42" s="80"/>
      <c r="E42" s="80"/>
      <c r="F42" s="77"/>
      <c r="G42" s="77"/>
      <c r="H42" s="93"/>
      <c r="I42" s="77"/>
      <c r="J42" s="77"/>
      <c r="K42" s="77"/>
      <c r="L42" s="77"/>
      <c r="M42" s="77"/>
      <c r="N42" s="78"/>
    </row>
    <row r="43" spans="1:29" ht="17">
      <c r="A43" s="146" t="s">
        <v>177</v>
      </c>
      <c r="B43" s="79"/>
      <c r="C43" s="80"/>
      <c r="D43" s="80"/>
      <c r="E43" s="80"/>
      <c r="F43" s="77"/>
      <c r="G43" s="77"/>
      <c r="H43" s="94"/>
      <c r="I43" s="77"/>
      <c r="J43" s="77"/>
      <c r="K43" s="77"/>
      <c r="L43" s="77"/>
      <c r="M43" s="77"/>
      <c r="N43" s="78"/>
    </row>
    <row r="44" spans="1:29">
      <c r="A44" s="97"/>
      <c r="B44" s="95"/>
      <c r="C44" s="96"/>
      <c r="D44" s="96"/>
      <c r="E44" s="96"/>
      <c r="F44" s="78"/>
      <c r="H44" s="97"/>
      <c r="I44" s="78"/>
      <c r="J44" s="78"/>
      <c r="K44" s="78"/>
      <c r="L44" s="78"/>
      <c r="M44" s="78"/>
      <c r="N44" s="78"/>
    </row>
    <row r="69" spans="1:14">
      <c r="A69" s="97"/>
      <c r="B69" s="95"/>
      <c r="C69" s="96"/>
      <c r="D69" s="96"/>
      <c r="E69" s="96"/>
      <c r="F69" s="78"/>
      <c r="H69" s="97"/>
      <c r="I69" s="78"/>
      <c r="J69" s="78"/>
      <c r="K69" s="78"/>
      <c r="L69" s="78"/>
      <c r="M69" s="78"/>
      <c r="N69" s="78"/>
    </row>
    <row r="70" spans="1:14">
      <c r="A70" s="97"/>
      <c r="B70" s="95"/>
      <c r="C70" s="96"/>
      <c r="D70" s="96"/>
      <c r="E70" s="96"/>
      <c r="F70" s="78"/>
      <c r="H70" s="97"/>
      <c r="I70" s="78"/>
      <c r="J70" s="78"/>
      <c r="K70" s="78"/>
      <c r="L70" s="78"/>
      <c r="M70" s="78"/>
      <c r="N70" s="78"/>
    </row>
    <row r="71" spans="1:14">
      <c r="A71" s="97"/>
      <c r="B71" s="95"/>
      <c r="C71" s="96"/>
      <c r="D71" s="96"/>
      <c r="E71" s="96"/>
      <c r="F71" s="78"/>
      <c r="H71" s="97"/>
      <c r="I71" s="78"/>
      <c r="J71" s="78"/>
      <c r="K71" s="78"/>
      <c r="L71" s="78"/>
      <c r="M71" s="78"/>
      <c r="N71" s="78"/>
    </row>
    <row r="72" spans="1:14">
      <c r="A72" s="97"/>
      <c r="B72" s="95"/>
      <c r="C72" s="96"/>
      <c r="D72" s="96"/>
      <c r="E72" s="96"/>
      <c r="F72" s="78"/>
      <c r="H72" s="97"/>
      <c r="I72" s="78"/>
      <c r="J72" s="78"/>
      <c r="K72" s="78"/>
      <c r="L72" s="78"/>
      <c r="M72" s="78"/>
      <c r="N72" s="78"/>
    </row>
    <row r="73" spans="1:14">
      <c r="A73" s="97"/>
      <c r="B73" s="95"/>
      <c r="C73" s="96"/>
      <c r="D73" s="96"/>
      <c r="E73" s="96"/>
      <c r="F73" s="78"/>
      <c r="H73" s="97"/>
      <c r="I73" s="78"/>
      <c r="J73" s="78"/>
      <c r="K73" s="78"/>
      <c r="L73" s="78"/>
      <c r="M73" s="78"/>
      <c r="N73" s="78"/>
    </row>
    <row r="74" spans="1:14">
      <c r="A74" s="97"/>
      <c r="B74" s="95"/>
      <c r="C74" s="96"/>
      <c r="D74" s="96"/>
      <c r="E74" s="96"/>
      <c r="F74" s="78"/>
      <c r="H74" s="97"/>
      <c r="I74" s="78"/>
      <c r="J74" s="78"/>
      <c r="K74" s="78"/>
      <c r="L74" s="78"/>
      <c r="M74" s="78"/>
      <c r="N74" s="78"/>
    </row>
    <row r="75" spans="1:14">
      <c r="A75" s="97"/>
      <c r="B75" s="95"/>
      <c r="C75" s="96"/>
      <c r="D75" s="96"/>
      <c r="E75" s="96"/>
      <c r="F75" s="78"/>
      <c r="H75" s="97"/>
      <c r="I75" s="78"/>
      <c r="J75" s="78"/>
      <c r="K75" s="78"/>
      <c r="L75" s="78"/>
      <c r="M75" s="78"/>
      <c r="N75" s="78"/>
    </row>
    <row r="76" spans="1:14">
      <c r="A76" s="97"/>
      <c r="B76" s="95"/>
      <c r="C76" s="96"/>
      <c r="D76" s="96"/>
      <c r="E76" s="96"/>
      <c r="F76" s="78"/>
      <c r="H76" s="97"/>
      <c r="I76" s="78"/>
      <c r="J76" s="78"/>
      <c r="K76" s="78"/>
      <c r="L76" s="78"/>
      <c r="M76" s="78"/>
      <c r="N76" s="78"/>
    </row>
    <row r="77" spans="1:14">
      <c r="A77" s="97"/>
      <c r="B77" s="95"/>
      <c r="C77" s="96"/>
      <c r="D77" s="96"/>
      <c r="E77" s="96"/>
      <c r="F77" s="78"/>
      <c r="H77" s="97"/>
      <c r="I77" s="78"/>
      <c r="J77" s="78"/>
      <c r="K77" s="78"/>
      <c r="L77" s="78"/>
      <c r="M77" s="78"/>
      <c r="N77" s="78"/>
    </row>
    <row r="78" spans="1:14">
      <c r="A78" s="97"/>
      <c r="B78" s="95"/>
      <c r="C78" s="96"/>
      <c r="D78" s="96"/>
      <c r="E78" s="96"/>
      <c r="F78" s="78"/>
      <c r="H78" s="97"/>
      <c r="I78" s="78"/>
      <c r="J78" s="78"/>
      <c r="K78" s="78"/>
      <c r="L78" s="78"/>
      <c r="M78" s="78"/>
      <c r="N78" s="78"/>
    </row>
    <row r="79" spans="1:14">
      <c r="A79" s="97"/>
      <c r="B79" s="95"/>
      <c r="C79" s="96"/>
      <c r="D79" s="96"/>
      <c r="E79" s="96"/>
      <c r="F79" s="78"/>
      <c r="H79" s="97"/>
      <c r="I79" s="78"/>
      <c r="J79" s="78"/>
      <c r="K79" s="78"/>
      <c r="L79" s="78"/>
      <c r="M79" s="78"/>
      <c r="N79" s="78"/>
    </row>
    <row r="80" spans="1:14">
      <c r="A80" s="97"/>
      <c r="B80" s="95"/>
      <c r="C80" s="96"/>
      <c r="D80" s="96"/>
      <c r="E80" s="96"/>
      <c r="F80" s="78"/>
      <c r="H80" s="97"/>
      <c r="I80" s="78"/>
      <c r="J80" s="78"/>
      <c r="K80" s="78"/>
      <c r="L80" s="78"/>
      <c r="M80" s="78"/>
      <c r="N80" s="78"/>
    </row>
    <row r="81" spans="1:14">
      <c r="A81" s="97"/>
      <c r="B81" s="95"/>
      <c r="C81" s="96"/>
      <c r="D81" s="96"/>
      <c r="E81" s="96"/>
      <c r="F81" s="78"/>
      <c r="H81" s="97"/>
      <c r="I81" s="78"/>
      <c r="J81" s="78"/>
      <c r="K81" s="78"/>
      <c r="L81" s="78"/>
      <c r="M81" s="78"/>
      <c r="N81" s="78"/>
    </row>
    <row r="82" spans="1:14">
      <c r="A82" s="97"/>
      <c r="B82" s="95"/>
      <c r="C82" s="96"/>
      <c r="D82" s="96"/>
      <c r="E82" s="96"/>
      <c r="F82" s="78"/>
      <c r="H82" s="97"/>
      <c r="I82" s="78"/>
      <c r="J82" s="78"/>
      <c r="K82" s="78"/>
      <c r="L82" s="78"/>
      <c r="M82" s="78"/>
      <c r="N82" s="78"/>
    </row>
    <row r="83" spans="1:14">
      <c r="A83" s="97"/>
      <c r="B83" s="95"/>
      <c r="C83" s="96"/>
      <c r="D83" s="96"/>
      <c r="E83" s="96"/>
      <c r="F83" s="78"/>
      <c r="H83" s="97"/>
      <c r="I83" s="78"/>
      <c r="J83" s="78"/>
      <c r="K83" s="78"/>
      <c r="L83" s="78"/>
      <c r="M83" s="78"/>
      <c r="N83" s="78"/>
    </row>
    <row r="84" spans="1:14">
      <c r="A84" s="97"/>
      <c r="B84" s="95"/>
      <c r="C84" s="96"/>
      <c r="D84" s="96"/>
      <c r="E84" s="96"/>
      <c r="F84" s="78"/>
      <c r="H84" s="97"/>
      <c r="I84" s="78"/>
      <c r="J84" s="78"/>
      <c r="K84" s="78"/>
      <c r="L84" s="78"/>
      <c r="M84" s="78"/>
      <c r="N84" s="78"/>
    </row>
    <row r="85" spans="1:14">
      <c r="A85" s="97"/>
      <c r="B85" s="95"/>
      <c r="C85" s="96"/>
      <c r="D85" s="96"/>
      <c r="E85" s="96"/>
      <c r="F85" s="78"/>
      <c r="H85" s="97"/>
      <c r="I85" s="78"/>
      <c r="J85" s="78"/>
      <c r="K85" s="78"/>
      <c r="L85" s="78"/>
      <c r="M85" s="78"/>
      <c r="N85" s="78"/>
    </row>
    <row r="86" spans="1:14">
      <c r="A86" s="97"/>
      <c r="B86" s="95"/>
      <c r="C86" s="96"/>
      <c r="D86" s="96"/>
      <c r="E86" s="96"/>
      <c r="F86" s="78"/>
      <c r="H86" s="97"/>
      <c r="I86" s="78"/>
      <c r="J86" s="78"/>
      <c r="K86" s="78"/>
      <c r="L86" s="78"/>
      <c r="M86" s="78"/>
      <c r="N86" s="78"/>
    </row>
    <row r="87" spans="1:14">
      <c r="A87" s="97"/>
      <c r="B87" s="95"/>
      <c r="C87" s="96"/>
      <c r="D87" s="96"/>
      <c r="E87" s="96"/>
      <c r="F87" s="78"/>
      <c r="H87" s="97"/>
      <c r="I87" s="78"/>
      <c r="J87" s="78"/>
      <c r="K87" s="78"/>
      <c r="L87" s="78"/>
      <c r="M87" s="78"/>
      <c r="N87" s="78"/>
    </row>
    <row r="88" spans="1:14">
      <c r="A88" s="97"/>
      <c r="B88" s="95"/>
      <c r="C88" s="96"/>
      <c r="D88" s="96"/>
      <c r="E88" s="96"/>
      <c r="F88" s="78"/>
      <c r="H88" s="97"/>
      <c r="I88" s="78"/>
      <c r="J88" s="78"/>
      <c r="K88" s="78"/>
      <c r="L88" s="78"/>
      <c r="M88" s="78"/>
      <c r="N88" s="78"/>
    </row>
    <row r="89" spans="1:14">
      <c r="A89" s="97"/>
      <c r="B89" s="95"/>
      <c r="C89" s="96"/>
      <c r="D89" s="96"/>
      <c r="E89" s="96"/>
      <c r="F89" s="78"/>
      <c r="H89" s="97"/>
      <c r="I89" s="78"/>
      <c r="J89" s="78"/>
      <c r="K89" s="78"/>
      <c r="L89" s="78"/>
      <c r="M89" s="78"/>
      <c r="N89" s="78"/>
    </row>
    <row r="90" spans="1:14">
      <c r="A90" s="97"/>
      <c r="B90" s="95"/>
      <c r="C90" s="96"/>
      <c r="D90" s="96"/>
      <c r="E90" s="96"/>
      <c r="F90" s="78"/>
      <c r="H90" s="97"/>
      <c r="I90" s="78"/>
      <c r="J90" s="78"/>
      <c r="K90" s="78"/>
      <c r="L90" s="78"/>
      <c r="M90" s="78"/>
      <c r="N90" s="78"/>
    </row>
    <row r="91" spans="1:14">
      <c r="A91" s="97"/>
      <c r="B91" s="95"/>
      <c r="C91" s="96"/>
      <c r="D91" s="96"/>
      <c r="E91" s="96"/>
      <c r="F91" s="78"/>
      <c r="H91" s="97"/>
      <c r="I91" s="78"/>
      <c r="J91" s="78"/>
      <c r="K91" s="78"/>
      <c r="L91" s="78"/>
      <c r="M91" s="78"/>
      <c r="N91" s="78"/>
    </row>
    <row r="92" spans="1:14">
      <c r="A92" s="97"/>
      <c r="B92" s="95"/>
      <c r="C92" s="96"/>
      <c r="D92" s="96"/>
      <c r="E92" s="96"/>
      <c r="F92" s="78"/>
      <c r="H92" s="97"/>
      <c r="I92" s="78"/>
      <c r="J92" s="78"/>
      <c r="K92" s="78"/>
      <c r="L92" s="78"/>
      <c r="M92" s="78"/>
      <c r="N92" s="78"/>
    </row>
    <row r="93" spans="1:14">
      <c r="A93" s="97"/>
      <c r="B93" s="95"/>
      <c r="C93" s="96"/>
      <c r="D93" s="96"/>
      <c r="E93" s="96"/>
      <c r="F93" s="78"/>
      <c r="H93" s="97"/>
      <c r="I93" s="78"/>
      <c r="J93" s="78"/>
      <c r="K93" s="78"/>
      <c r="L93" s="78"/>
      <c r="M93" s="78"/>
      <c r="N93" s="78"/>
    </row>
    <row r="94" spans="1:14">
      <c r="A94" s="97"/>
      <c r="B94" s="95"/>
      <c r="C94" s="96"/>
      <c r="D94" s="96"/>
      <c r="E94" s="96"/>
      <c r="F94" s="78"/>
      <c r="H94" s="97"/>
      <c r="I94" s="78"/>
      <c r="J94" s="78"/>
      <c r="K94" s="78"/>
      <c r="L94" s="78"/>
      <c r="M94" s="78"/>
      <c r="N94" s="78"/>
    </row>
    <row r="95" spans="1:14">
      <c r="A95" s="97"/>
      <c r="B95" s="95"/>
      <c r="C95" s="96"/>
      <c r="D95" s="96"/>
      <c r="E95" s="96"/>
      <c r="F95" s="78"/>
      <c r="H95" s="97"/>
      <c r="I95" s="78"/>
      <c r="J95" s="78"/>
      <c r="K95" s="78"/>
      <c r="L95" s="78"/>
      <c r="M95" s="78"/>
      <c r="N95" s="78"/>
    </row>
    <row r="96" spans="1:14">
      <c r="A96" s="97"/>
      <c r="B96" s="95"/>
      <c r="C96" s="96"/>
      <c r="D96" s="96"/>
      <c r="E96" s="96"/>
      <c r="F96" s="78"/>
      <c r="H96" s="97"/>
      <c r="I96" s="78"/>
      <c r="J96" s="78"/>
      <c r="K96" s="78"/>
      <c r="L96" s="78"/>
      <c r="M96" s="78"/>
      <c r="N96" s="78"/>
    </row>
    <row r="97" spans="1:14">
      <c r="A97" s="97"/>
      <c r="B97" s="95"/>
      <c r="C97" s="96"/>
      <c r="D97" s="96"/>
      <c r="E97" s="96"/>
      <c r="F97" s="78"/>
      <c r="H97" s="97"/>
      <c r="I97" s="78"/>
      <c r="J97" s="78"/>
      <c r="K97" s="78"/>
      <c r="L97" s="78"/>
      <c r="M97" s="78"/>
      <c r="N97" s="78"/>
    </row>
    <row r="98" spans="1:14">
      <c r="A98" s="97"/>
      <c r="B98" s="95"/>
      <c r="C98" s="96"/>
      <c r="D98" s="96"/>
      <c r="E98" s="96"/>
      <c r="F98" s="78"/>
      <c r="H98" s="97"/>
      <c r="I98" s="78"/>
      <c r="J98" s="78"/>
      <c r="K98" s="78"/>
      <c r="L98" s="78"/>
      <c r="M98" s="78"/>
      <c r="N98" s="78"/>
    </row>
    <row r="99" spans="1:14">
      <c r="A99" s="97"/>
      <c r="B99" s="95"/>
      <c r="C99" s="96"/>
      <c r="D99" s="96"/>
      <c r="E99" s="96"/>
      <c r="F99" s="78"/>
      <c r="H99" s="97"/>
      <c r="I99" s="78"/>
      <c r="J99" s="78"/>
      <c r="K99" s="78"/>
      <c r="L99" s="78"/>
      <c r="M99" s="78"/>
      <c r="N99" s="78"/>
    </row>
    <row r="100" spans="1:14">
      <c r="A100" s="97"/>
      <c r="B100" s="95"/>
      <c r="C100" s="96"/>
      <c r="D100" s="96"/>
      <c r="E100" s="96"/>
      <c r="F100" s="78"/>
      <c r="H100" s="97"/>
      <c r="I100" s="78"/>
      <c r="J100" s="78"/>
      <c r="K100" s="78"/>
      <c r="L100" s="78"/>
      <c r="M100" s="78"/>
      <c r="N100" s="78"/>
    </row>
    <row r="101" spans="1:14">
      <c r="A101" s="97"/>
      <c r="B101" s="95"/>
      <c r="C101" s="96"/>
      <c r="D101" s="96"/>
      <c r="E101" s="96"/>
      <c r="F101" s="78"/>
      <c r="H101" s="97"/>
      <c r="I101" s="78"/>
      <c r="J101" s="78"/>
      <c r="K101" s="78"/>
      <c r="L101" s="78"/>
      <c r="M101" s="78"/>
      <c r="N101" s="78"/>
    </row>
    <row r="102" spans="1:14">
      <c r="A102" s="97"/>
      <c r="B102" s="95"/>
      <c r="C102" s="96"/>
      <c r="D102" s="96"/>
      <c r="E102" s="96"/>
      <c r="F102" s="78"/>
      <c r="H102" s="97"/>
      <c r="I102" s="78"/>
      <c r="J102" s="78"/>
      <c r="K102" s="78"/>
      <c r="L102" s="78"/>
      <c r="M102" s="78"/>
      <c r="N102" s="78"/>
    </row>
    <row r="103" spans="1:14">
      <c r="A103" s="97"/>
      <c r="B103" s="95"/>
      <c r="C103" s="96"/>
      <c r="D103" s="96"/>
      <c r="E103" s="96"/>
      <c r="F103" s="78"/>
      <c r="H103" s="97"/>
      <c r="I103" s="78"/>
      <c r="J103" s="78"/>
      <c r="K103" s="78"/>
      <c r="L103" s="78"/>
      <c r="M103" s="78"/>
      <c r="N103" s="78"/>
    </row>
    <row r="104" spans="1:14">
      <c r="A104" s="97"/>
      <c r="B104" s="95"/>
      <c r="C104" s="96"/>
      <c r="D104" s="96"/>
      <c r="E104" s="96"/>
      <c r="F104" s="78"/>
      <c r="H104" s="97"/>
      <c r="I104" s="78"/>
      <c r="J104" s="78"/>
      <c r="K104" s="78"/>
      <c r="L104" s="78"/>
      <c r="M104" s="78"/>
      <c r="N104" s="78"/>
    </row>
    <row r="105" spans="1:14">
      <c r="A105" s="97"/>
      <c r="B105" s="95"/>
      <c r="C105" s="96"/>
      <c r="D105" s="96"/>
      <c r="E105" s="96"/>
      <c r="F105" s="78"/>
      <c r="H105" s="97"/>
      <c r="I105" s="78"/>
      <c r="J105" s="78"/>
      <c r="K105" s="78"/>
      <c r="L105" s="78"/>
      <c r="M105" s="78"/>
      <c r="N105" s="78"/>
    </row>
    <row r="106" spans="1:14">
      <c r="A106" s="97"/>
      <c r="B106" s="95"/>
      <c r="C106" s="96"/>
      <c r="D106" s="96"/>
      <c r="E106" s="96"/>
      <c r="F106" s="78"/>
      <c r="H106" s="97"/>
      <c r="I106" s="78"/>
      <c r="J106" s="78"/>
      <c r="K106" s="78"/>
      <c r="L106" s="78"/>
      <c r="M106" s="78"/>
      <c r="N106" s="78"/>
    </row>
    <row r="107" spans="1:14">
      <c r="A107" s="97"/>
      <c r="B107" s="95"/>
      <c r="C107" s="96"/>
      <c r="D107" s="96"/>
      <c r="E107" s="96"/>
      <c r="F107" s="78"/>
      <c r="H107" s="97"/>
      <c r="I107" s="78"/>
      <c r="J107" s="78"/>
      <c r="K107" s="78"/>
      <c r="L107" s="78"/>
      <c r="M107" s="78"/>
      <c r="N107" s="78"/>
    </row>
    <row r="108" spans="1:14">
      <c r="A108" s="97"/>
      <c r="B108" s="95"/>
      <c r="C108" s="96"/>
      <c r="D108" s="96"/>
      <c r="E108" s="96"/>
      <c r="F108" s="78"/>
      <c r="H108" s="97"/>
      <c r="I108" s="78"/>
      <c r="J108" s="78"/>
      <c r="K108" s="78"/>
      <c r="L108" s="78"/>
      <c r="M108" s="78"/>
      <c r="N108" s="78"/>
    </row>
    <row r="109" spans="1:14">
      <c r="A109" s="97"/>
      <c r="B109" s="95"/>
      <c r="C109" s="96"/>
      <c r="D109" s="96"/>
      <c r="E109" s="96"/>
      <c r="F109" s="78"/>
      <c r="H109" s="97"/>
      <c r="I109" s="78"/>
      <c r="J109" s="78"/>
      <c r="K109" s="78"/>
      <c r="L109" s="78"/>
      <c r="M109" s="78"/>
      <c r="N109" s="78"/>
    </row>
    <row r="110" spans="1:14">
      <c r="A110" s="97"/>
      <c r="B110" s="95"/>
      <c r="C110" s="96"/>
      <c r="D110" s="96"/>
      <c r="E110" s="96"/>
      <c r="F110" s="78"/>
      <c r="H110" s="97"/>
      <c r="I110" s="78"/>
      <c r="J110" s="78"/>
      <c r="K110" s="78"/>
      <c r="L110" s="78"/>
      <c r="M110" s="78"/>
      <c r="N110" s="78"/>
    </row>
    <row r="111" spans="1:14">
      <c r="A111" s="97"/>
      <c r="B111" s="95"/>
      <c r="C111" s="96"/>
      <c r="D111" s="96"/>
      <c r="E111" s="96"/>
      <c r="F111" s="78"/>
      <c r="H111" s="97"/>
      <c r="I111" s="78"/>
      <c r="J111" s="78"/>
      <c r="K111" s="78"/>
      <c r="L111" s="78"/>
      <c r="M111" s="78"/>
      <c r="N111" s="78"/>
    </row>
    <row r="112" spans="1:14">
      <c r="A112" s="97"/>
      <c r="B112" s="95"/>
      <c r="C112" s="96"/>
      <c r="D112" s="96"/>
      <c r="E112" s="96"/>
      <c r="F112" s="78"/>
      <c r="H112" s="97"/>
      <c r="I112" s="78"/>
      <c r="J112" s="78"/>
      <c r="K112" s="78"/>
      <c r="L112" s="78"/>
      <c r="M112" s="78"/>
      <c r="N112" s="78"/>
    </row>
    <row r="113" spans="1:14">
      <c r="A113" s="97"/>
      <c r="B113" s="95"/>
      <c r="C113" s="96"/>
      <c r="D113" s="96"/>
      <c r="E113" s="96"/>
      <c r="F113" s="78"/>
      <c r="H113" s="97"/>
      <c r="I113" s="78"/>
      <c r="J113" s="78"/>
      <c r="K113" s="78"/>
      <c r="L113" s="78"/>
      <c r="M113" s="78"/>
      <c r="N113" s="78"/>
    </row>
    <row r="114" spans="1:14">
      <c r="A114" s="97"/>
      <c r="B114" s="95"/>
      <c r="C114" s="96"/>
      <c r="D114" s="96"/>
      <c r="E114" s="96"/>
      <c r="F114" s="78"/>
      <c r="H114" s="97"/>
      <c r="I114" s="78"/>
      <c r="J114" s="78"/>
      <c r="K114" s="78"/>
      <c r="L114" s="78"/>
      <c r="M114" s="78"/>
      <c r="N114" s="78"/>
    </row>
    <row r="115" spans="1:14">
      <c r="A115" s="97"/>
      <c r="B115" s="95"/>
      <c r="C115" s="96"/>
      <c r="D115" s="96"/>
      <c r="E115" s="96"/>
      <c r="F115" s="78"/>
      <c r="H115" s="97"/>
      <c r="I115" s="78"/>
      <c r="J115" s="78"/>
      <c r="K115" s="78"/>
      <c r="L115" s="78"/>
      <c r="M115" s="78"/>
      <c r="N115" s="78"/>
    </row>
    <row r="116" spans="1:14">
      <c r="A116" s="97"/>
      <c r="B116" s="95"/>
      <c r="C116" s="96"/>
      <c r="D116" s="96"/>
      <c r="E116" s="96"/>
      <c r="F116" s="78"/>
      <c r="H116" s="97"/>
      <c r="I116" s="78"/>
      <c r="J116" s="78"/>
      <c r="K116" s="78"/>
      <c r="L116" s="78"/>
      <c r="M116" s="78"/>
      <c r="N116" s="78"/>
    </row>
    <row r="117" spans="1:14">
      <c r="A117" s="97"/>
      <c r="B117" s="95"/>
      <c r="C117" s="96"/>
      <c r="D117" s="96"/>
      <c r="E117" s="96"/>
      <c r="F117" s="78"/>
      <c r="H117" s="97"/>
      <c r="I117" s="78"/>
      <c r="J117" s="78"/>
      <c r="K117" s="78"/>
      <c r="L117" s="78"/>
      <c r="M117" s="78"/>
      <c r="N117" s="78"/>
    </row>
    <row r="118" spans="1:14">
      <c r="A118" s="97"/>
      <c r="B118" s="95"/>
      <c r="C118" s="96"/>
      <c r="D118" s="96"/>
      <c r="E118" s="96"/>
      <c r="F118" s="78"/>
      <c r="H118" s="97"/>
      <c r="I118" s="78"/>
      <c r="J118" s="78"/>
      <c r="K118" s="78"/>
      <c r="L118" s="78"/>
      <c r="M118" s="78"/>
      <c r="N118" s="78"/>
    </row>
    <row r="119" spans="1:14">
      <c r="A119" s="97"/>
      <c r="B119" s="95"/>
      <c r="C119" s="96"/>
      <c r="D119" s="96"/>
      <c r="E119" s="96"/>
      <c r="F119" s="78"/>
      <c r="H119" s="97"/>
      <c r="I119" s="78"/>
      <c r="J119" s="78"/>
      <c r="K119" s="78"/>
      <c r="L119" s="78"/>
      <c r="M119" s="78"/>
      <c r="N119" s="78"/>
    </row>
    <row r="120" spans="1:14">
      <c r="A120" s="97"/>
      <c r="B120" s="95"/>
      <c r="C120" s="96"/>
      <c r="D120" s="96"/>
      <c r="E120" s="96"/>
      <c r="F120" s="78"/>
      <c r="H120" s="97"/>
      <c r="I120" s="78"/>
      <c r="J120" s="78"/>
      <c r="K120" s="78"/>
      <c r="L120" s="78"/>
      <c r="M120" s="78"/>
      <c r="N120" s="78"/>
    </row>
    <row r="121" spans="1:14">
      <c r="A121" s="97"/>
      <c r="B121" s="95"/>
      <c r="C121" s="96"/>
      <c r="D121" s="96"/>
      <c r="E121" s="96"/>
      <c r="F121" s="78"/>
      <c r="H121" s="97"/>
      <c r="I121" s="78"/>
      <c r="J121" s="78"/>
      <c r="K121" s="78"/>
      <c r="L121" s="78"/>
      <c r="M121" s="78"/>
      <c r="N121" s="78"/>
    </row>
    <row r="122" spans="1:14">
      <c r="A122" s="97"/>
      <c r="B122" s="95"/>
      <c r="C122" s="96"/>
      <c r="D122" s="96"/>
      <c r="E122" s="96"/>
      <c r="F122" s="78"/>
      <c r="H122" s="97"/>
      <c r="I122" s="78"/>
      <c r="J122" s="78"/>
      <c r="K122" s="78"/>
      <c r="L122" s="78"/>
      <c r="M122" s="78"/>
      <c r="N122" s="78"/>
    </row>
    <row r="123" spans="1:14">
      <c r="A123" s="97"/>
      <c r="B123" s="95"/>
      <c r="C123" s="96"/>
      <c r="D123" s="96"/>
      <c r="E123" s="96"/>
      <c r="F123" s="78"/>
      <c r="H123" s="97"/>
      <c r="I123" s="78"/>
      <c r="J123" s="78"/>
      <c r="K123" s="78"/>
      <c r="L123" s="78"/>
      <c r="M123" s="78"/>
      <c r="N123" s="78"/>
    </row>
    <row r="124" spans="1:14">
      <c r="A124" s="97"/>
      <c r="B124" s="95"/>
      <c r="C124" s="96"/>
      <c r="D124" s="96"/>
      <c r="E124" s="96"/>
      <c r="F124" s="78"/>
      <c r="H124" s="97"/>
      <c r="I124" s="78"/>
      <c r="J124" s="78"/>
      <c r="K124" s="78"/>
      <c r="L124" s="78"/>
      <c r="M124" s="78"/>
      <c r="N124" s="78"/>
    </row>
    <row r="125" spans="1:14">
      <c r="A125" s="97"/>
      <c r="B125" s="95"/>
      <c r="C125" s="96"/>
      <c r="D125" s="96"/>
      <c r="E125" s="96"/>
      <c r="F125" s="78"/>
      <c r="H125" s="97"/>
      <c r="I125" s="78"/>
      <c r="J125" s="78"/>
      <c r="K125" s="78"/>
      <c r="L125" s="78"/>
      <c r="M125" s="78"/>
      <c r="N125" s="78"/>
    </row>
    <row r="126" spans="1:14">
      <c r="A126" s="97"/>
      <c r="B126" s="95"/>
      <c r="C126" s="96"/>
      <c r="D126" s="96"/>
      <c r="E126" s="96"/>
      <c r="F126" s="78"/>
      <c r="H126" s="97"/>
      <c r="I126" s="78"/>
      <c r="J126" s="78"/>
      <c r="K126" s="78"/>
      <c r="L126" s="78"/>
      <c r="M126" s="78"/>
      <c r="N126" s="78"/>
    </row>
    <row r="127" spans="1:14">
      <c r="A127" s="97"/>
      <c r="B127" s="95"/>
      <c r="C127" s="96"/>
      <c r="D127" s="96"/>
      <c r="E127" s="96"/>
      <c r="F127" s="78"/>
      <c r="H127" s="97"/>
      <c r="I127" s="78"/>
      <c r="J127" s="78"/>
      <c r="K127" s="78"/>
      <c r="L127" s="78"/>
      <c r="M127" s="78"/>
      <c r="N127" s="78"/>
    </row>
    <row r="128" spans="1:14">
      <c r="A128" s="97"/>
      <c r="B128" s="95"/>
      <c r="C128" s="96"/>
      <c r="D128" s="96"/>
      <c r="E128" s="96"/>
      <c r="F128" s="78"/>
      <c r="H128" s="97"/>
      <c r="I128" s="78"/>
      <c r="J128" s="78"/>
      <c r="K128" s="78"/>
      <c r="L128" s="78"/>
      <c r="M128" s="78"/>
      <c r="N128" s="78"/>
    </row>
    <row r="129" spans="1:14">
      <c r="A129" s="97"/>
      <c r="B129" s="95"/>
      <c r="C129" s="96"/>
      <c r="D129" s="96"/>
      <c r="E129" s="96"/>
      <c r="F129" s="78"/>
      <c r="H129" s="97"/>
      <c r="I129" s="78"/>
      <c r="J129" s="78"/>
      <c r="K129" s="78"/>
      <c r="L129" s="78"/>
      <c r="M129" s="78"/>
      <c r="N129" s="78"/>
    </row>
    <row r="130" spans="1:14">
      <c r="A130" s="97"/>
      <c r="B130" s="95"/>
      <c r="C130" s="96"/>
      <c r="D130" s="96"/>
      <c r="E130" s="96"/>
      <c r="F130" s="78"/>
      <c r="H130" s="97"/>
      <c r="I130" s="78"/>
      <c r="J130" s="78"/>
      <c r="K130" s="78"/>
      <c r="L130" s="78"/>
      <c r="M130" s="78"/>
      <c r="N130" s="78"/>
    </row>
    <row r="131" spans="1:14">
      <c r="A131" s="97"/>
      <c r="B131" s="95"/>
      <c r="C131" s="96"/>
      <c r="D131" s="96"/>
      <c r="E131" s="96"/>
      <c r="F131" s="78"/>
      <c r="H131" s="97"/>
      <c r="I131" s="78"/>
      <c r="J131" s="78"/>
      <c r="K131" s="78"/>
      <c r="L131" s="78"/>
      <c r="M131" s="78"/>
      <c r="N131" s="78"/>
    </row>
    <row r="132" spans="1:14">
      <c r="A132" s="97"/>
      <c r="B132" s="95"/>
      <c r="C132" s="96"/>
      <c r="D132" s="96"/>
      <c r="E132" s="96"/>
      <c r="F132" s="78"/>
      <c r="H132" s="97"/>
      <c r="I132" s="78"/>
      <c r="J132" s="78"/>
      <c r="K132" s="78"/>
      <c r="L132" s="78"/>
      <c r="M132" s="78"/>
      <c r="N132" s="78"/>
    </row>
    <row r="133" spans="1:14">
      <c r="A133" s="97"/>
      <c r="B133" s="95"/>
      <c r="C133" s="96"/>
      <c r="D133" s="96"/>
      <c r="E133" s="96"/>
      <c r="F133" s="78"/>
      <c r="H133" s="97"/>
      <c r="I133" s="78"/>
      <c r="J133" s="78"/>
      <c r="K133" s="78"/>
      <c r="L133" s="78"/>
      <c r="M133" s="78"/>
      <c r="N133" s="78"/>
    </row>
    <row r="134" spans="1:14">
      <c r="A134" s="97"/>
      <c r="B134" s="95"/>
      <c r="C134" s="96"/>
      <c r="D134" s="96"/>
      <c r="E134" s="96"/>
      <c r="F134" s="78"/>
      <c r="H134" s="97"/>
      <c r="I134" s="78"/>
      <c r="J134" s="78"/>
      <c r="K134" s="78"/>
      <c r="L134" s="78"/>
      <c r="M134" s="78"/>
      <c r="N134" s="78"/>
    </row>
    <row r="135" spans="1:14">
      <c r="A135" s="97"/>
      <c r="B135" s="95"/>
      <c r="C135" s="96"/>
      <c r="D135" s="96"/>
      <c r="E135" s="96"/>
      <c r="F135" s="78"/>
      <c r="H135" s="97"/>
      <c r="I135" s="78"/>
      <c r="J135" s="78"/>
      <c r="K135" s="78"/>
      <c r="L135" s="78"/>
      <c r="M135" s="78"/>
      <c r="N135" s="78"/>
    </row>
    <row r="136" spans="1:14">
      <c r="A136" s="97"/>
      <c r="B136" s="95"/>
      <c r="C136" s="96"/>
      <c r="D136" s="96"/>
      <c r="E136" s="96"/>
      <c r="F136" s="78"/>
      <c r="H136" s="97"/>
      <c r="I136" s="78"/>
      <c r="J136" s="78"/>
      <c r="K136" s="78"/>
      <c r="L136" s="78"/>
      <c r="M136" s="78"/>
      <c r="N136" s="78"/>
    </row>
    <row r="137" spans="1:14">
      <c r="A137" s="97"/>
      <c r="B137" s="95"/>
      <c r="C137" s="96"/>
      <c r="D137" s="96"/>
      <c r="E137" s="96"/>
      <c r="F137" s="78"/>
      <c r="H137" s="97"/>
      <c r="I137" s="78"/>
      <c r="J137" s="78"/>
      <c r="K137" s="78"/>
      <c r="L137" s="78"/>
      <c r="M137" s="78"/>
      <c r="N137" s="78"/>
    </row>
    <row r="138" spans="1:14">
      <c r="A138" s="97"/>
      <c r="B138" s="95"/>
      <c r="C138" s="96"/>
      <c r="D138" s="96"/>
      <c r="E138" s="96"/>
      <c r="F138" s="78"/>
      <c r="H138" s="97"/>
      <c r="I138" s="78"/>
      <c r="J138" s="78"/>
      <c r="K138" s="78"/>
      <c r="L138" s="78"/>
      <c r="M138" s="78"/>
      <c r="N138" s="78"/>
    </row>
    <row r="139" spans="1:14">
      <c r="A139" s="97"/>
      <c r="B139" s="95"/>
      <c r="C139" s="96"/>
      <c r="D139" s="96"/>
      <c r="E139" s="96"/>
      <c r="F139" s="78"/>
      <c r="H139" s="97"/>
      <c r="I139" s="78"/>
      <c r="J139" s="78"/>
      <c r="K139" s="78"/>
      <c r="L139" s="78"/>
      <c r="M139" s="78"/>
      <c r="N139" s="78"/>
    </row>
    <row r="140" spans="1:14">
      <c r="A140" s="97"/>
      <c r="B140" s="95"/>
      <c r="C140" s="96"/>
      <c r="D140" s="96"/>
      <c r="E140" s="96"/>
      <c r="F140" s="78"/>
      <c r="H140" s="97"/>
      <c r="I140" s="78"/>
      <c r="J140" s="78"/>
      <c r="K140" s="78"/>
      <c r="L140" s="78"/>
      <c r="M140" s="78"/>
      <c r="N140" s="78"/>
    </row>
    <row r="141" spans="1:14">
      <c r="A141" s="97"/>
      <c r="B141" s="95"/>
      <c r="C141" s="96"/>
      <c r="D141" s="96"/>
      <c r="E141" s="96"/>
      <c r="F141" s="78"/>
      <c r="H141" s="97"/>
      <c r="I141" s="78"/>
      <c r="J141" s="78"/>
      <c r="K141" s="78"/>
      <c r="L141" s="78"/>
      <c r="M141" s="78"/>
      <c r="N141" s="78"/>
    </row>
    <row r="142" spans="1:14">
      <c r="A142" s="97"/>
      <c r="B142" s="95"/>
      <c r="C142" s="96"/>
      <c r="D142" s="96"/>
      <c r="E142" s="96"/>
      <c r="F142" s="78"/>
      <c r="H142" s="97"/>
      <c r="I142" s="78"/>
      <c r="J142" s="78"/>
      <c r="K142" s="78"/>
      <c r="L142" s="78"/>
      <c r="M142" s="78"/>
      <c r="N142" s="78"/>
    </row>
    <row r="143" spans="1:14">
      <c r="A143" s="97"/>
      <c r="B143" s="95"/>
      <c r="C143" s="96"/>
      <c r="D143" s="96"/>
      <c r="E143" s="96"/>
      <c r="F143" s="78"/>
      <c r="H143" s="97"/>
      <c r="I143" s="78"/>
      <c r="J143" s="78"/>
      <c r="K143" s="78"/>
      <c r="L143" s="78"/>
      <c r="M143" s="78"/>
      <c r="N143" s="78"/>
    </row>
    <row r="144" spans="1:14">
      <c r="A144" s="97"/>
      <c r="B144" s="95"/>
      <c r="C144" s="96"/>
      <c r="D144" s="96"/>
      <c r="E144" s="96"/>
      <c r="F144" s="78"/>
      <c r="H144" s="97"/>
      <c r="I144" s="78"/>
      <c r="J144" s="78"/>
      <c r="K144" s="78"/>
      <c r="L144" s="78"/>
      <c r="M144" s="78"/>
      <c r="N144" s="78"/>
    </row>
    <row r="145" spans="1:14">
      <c r="A145" s="97"/>
      <c r="B145" s="95"/>
      <c r="C145" s="96"/>
      <c r="D145" s="96"/>
      <c r="E145" s="96"/>
      <c r="F145" s="78"/>
      <c r="H145" s="97"/>
      <c r="I145" s="78"/>
      <c r="J145" s="78"/>
      <c r="K145" s="78"/>
      <c r="L145" s="78"/>
      <c r="M145" s="78"/>
      <c r="N145" s="78"/>
    </row>
    <row r="146" spans="1:14">
      <c r="A146" s="97"/>
      <c r="B146" s="95"/>
      <c r="C146" s="96"/>
      <c r="D146" s="96"/>
      <c r="E146" s="96"/>
      <c r="F146" s="78"/>
      <c r="H146" s="97"/>
      <c r="I146" s="78"/>
      <c r="J146" s="78"/>
      <c r="K146" s="78"/>
      <c r="L146" s="78"/>
      <c r="M146" s="78"/>
      <c r="N146" s="78"/>
    </row>
    <row r="147" spans="1:14">
      <c r="A147" s="97"/>
      <c r="B147" s="95"/>
      <c r="C147" s="96"/>
      <c r="D147" s="96"/>
      <c r="E147" s="96"/>
      <c r="F147" s="78"/>
      <c r="H147" s="97"/>
      <c r="I147" s="78"/>
      <c r="J147" s="78"/>
      <c r="K147" s="78"/>
      <c r="L147" s="78"/>
      <c r="M147" s="78"/>
      <c r="N147" s="78"/>
    </row>
    <row r="148" spans="1:14">
      <c r="A148" s="97"/>
      <c r="B148" s="95"/>
      <c r="C148" s="96"/>
      <c r="D148" s="96"/>
      <c r="E148" s="96"/>
      <c r="F148" s="78"/>
      <c r="H148" s="97"/>
      <c r="I148" s="78"/>
      <c r="J148" s="78"/>
      <c r="K148" s="78"/>
      <c r="L148" s="78"/>
      <c r="M148" s="78"/>
      <c r="N148" s="78"/>
    </row>
    <row r="149" spans="1:14">
      <c r="A149" s="97"/>
      <c r="B149" s="95"/>
      <c r="C149" s="96"/>
      <c r="D149" s="96"/>
      <c r="E149" s="96"/>
      <c r="F149" s="78"/>
      <c r="H149" s="97"/>
      <c r="I149" s="78"/>
      <c r="J149" s="78"/>
      <c r="K149" s="78"/>
      <c r="L149" s="78"/>
      <c r="M149" s="78"/>
      <c r="N149" s="78"/>
    </row>
    <row r="150" spans="1:14">
      <c r="A150" s="97"/>
      <c r="B150" s="95"/>
      <c r="C150" s="96"/>
      <c r="D150" s="96"/>
      <c r="E150" s="96"/>
      <c r="F150" s="78"/>
      <c r="H150" s="97"/>
      <c r="I150" s="78"/>
      <c r="J150" s="78"/>
      <c r="K150" s="78"/>
      <c r="L150" s="78"/>
      <c r="M150" s="78"/>
      <c r="N150" s="78"/>
    </row>
    <row r="151" spans="1:14">
      <c r="A151" s="97"/>
      <c r="B151" s="95"/>
      <c r="C151" s="96"/>
      <c r="D151" s="96"/>
      <c r="E151" s="96"/>
      <c r="F151" s="78"/>
      <c r="H151" s="97"/>
      <c r="I151" s="78"/>
      <c r="J151" s="78"/>
      <c r="K151" s="78"/>
      <c r="L151" s="78"/>
      <c r="M151" s="78"/>
      <c r="N151" s="78"/>
    </row>
    <row r="152" spans="1:14">
      <c r="A152" s="97"/>
      <c r="B152" s="95"/>
      <c r="C152" s="96"/>
      <c r="D152" s="96"/>
      <c r="E152" s="96"/>
      <c r="F152" s="78"/>
      <c r="H152" s="97"/>
      <c r="I152" s="78"/>
      <c r="J152" s="78"/>
      <c r="K152" s="78"/>
      <c r="L152" s="78"/>
      <c r="M152" s="78"/>
      <c r="N152" s="78"/>
    </row>
    <row r="153" spans="1:14">
      <c r="A153" s="97"/>
      <c r="B153" s="95"/>
      <c r="C153" s="96"/>
      <c r="D153" s="96"/>
      <c r="E153" s="96"/>
      <c r="F153" s="78"/>
      <c r="H153" s="97"/>
      <c r="I153" s="78"/>
      <c r="J153" s="78"/>
      <c r="K153" s="78"/>
      <c r="L153" s="78"/>
      <c r="M153" s="78"/>
      <c r="N153" s="78"/>
    </row>
    <row r="154" spans="1:14">
      <c r="A154" s="97"/>
      <c r="B154" s="95"/>
      <c r="C154" s="96"/>
      <c r="D154" s="96"/>
      <c r="E154" s="96"/>
      <c r="F154" s="78"/>
      <c r="H154" s="97"/>
      <c r="I154" s="78"/>
      <c r="J154" s="78"/>
      <c r="K154" s="78"/>
      <c r="L154" s="78"/>
      <c r="M154" s="78"/>
      <c r="N154" s="78"/>
    </row>
    <row r="155" spans="1:14">
      <c r="A155" s="97"/>
      <c r="B155" s="95"/>
      <c r="C155" s="96"/>
      <c r="D155" s="96"/>
      <c r="E155" s="96"/>
      <c r="F155" s="78"/>
      <c r="H155" s="97"/>
      <c r="I155" s="78"/>
      <c r="J155" s="78"/>
      <c r="K155" s="78"/>
      <c r="L155" s="78"/>
      <c r="M155" s="78"/>
      <c r="N155" s="78"/>
    </row>
    <row r="156" spans="1:14">
      <c r="A156" s="97"/>
      <c r="B156" s="95"/>
      <c r="C156" s="96"/>
      <c r="D156" s="96"/>
      <c r="E156" s="96"/>
      <c r="F156" s="78"/>
      <c r="H156" s="97"/>
      <c r="I156" s="78"/>
      <c r="J156" s="78"/>
      <c r="K156" s="78"/>
      <c r="L156" s="78"/>
      <c r="M156" s="78"/>
      <c r="N156" s="78"/>
    </row>
    <row r="157" spans="1:14">
      <c r="A157" s="97"/>
      <c r="B157" s="95"/>
      <c r="C157" s="96"/>
      <c r="D157" s="96"/>
      <c r="E157" s="96"/>
      <c r="F157" s="78"/>
      <c r="H157" s="97"/>
      <c r="I157" s="78"/>
      <c r="J157" s="78"/>
      <c r="K157" s="78"/>
      <c r="L157" s="78"/>
      <c r="M157" s="78"/>
      <c r="N157" s="78"/>
    </row>
    <row r="158" spans="1:14">
      <c r="A158" s="97"/>
      <c r="B158" s="95"/>
      <c r="C158" s="96"/>
      <c r="D158" s="96"/>
      <c r="E158" s="96"/>
      <c r="F158" s="78"/>
      <c r="H158" s="97"/>
      <c r="I158" s="78"/>
      <c r="J158" s="78"/>
      <c r="K158" s="78"/>
      <c r="L158" s="78"/>
      <c r="M158" s="78"/>
      <c r="N158" s="78"/>
    </row>
    <row r="159" spans="1:14">
      <c r="A159" s="97"/>
      <c r="B159" s="95"/>
      <c r="C159" s="96"/>
      <c r="D159" s="96"/>
      <c r="E159" s="96"/>
      <c r="F159" s="78"/>
      <c r="H159" s="97"/>
      <c r="I159" s="78"/>
      <c r="J159" s="78"/>
      <c r="K159" s="78"/>
      <c r="L159" s="78"/>
      <c r="M159" s="78"/>
      <c r="N159" s="78"/>
    </row>
    <row r="160" spans="1:14">
      <c r="A160" s="97"/>
      <c r="B160" s="95"/>
      <c r="C160" s="96"/>
      <c r="D160" s="96"/>
      <c r="E160" s="96"/>
      <c r="F160" s="78"/>
      <c r="H160" s="97"/>
      <c r="I160" s="78"/>
      <c r="J160" s="78"/>
      <c r="K160" s="78"/>
      <c r="L160" s="78"/>
      <c r="M160" s="78"/>
      <c r="N160" s="78"/>
    </row>
    <row r="161" spans="1:14">
      <c r="A161" s="97"/>
      <c r="B161" s="95"/>
      <c r="C161" s="96"/>
      <c r="D161" s="96"/>
      <c r="E161" s="96"/>
      <c r="F161" s="78"/>
      <c r="H161" s="97"/>
      <c r="I161" s="78"/>
      <c r="J161" s="78"/>
      <c r="K161" s="78"/>
      <c r="L161" s="78"/>
      <c r="M161" s="78"/>
      <c r="N161" s="78"/>
    </row>
    <row r="162" spans="1:14">
      <c r="A162" s="97"/>
      <c r="B162" s="95"/>
      <c r="C162" s="96"/>
      <c r="D162" s="96"/>
      <c r="E162" s="96"/>
      <c r="F162" s="78"/>
      <c r="H162" s="97"/>
      <c r="I162" s="78"/>
      <c r="J162" s="78"/>
      <c r="K162" s="78"/>
      <c r="L162" s="78"/>
      <c r="M162" s="78"/>
      <c r="N162" s="78"/>
    </row>
    <row r="163" spans="1:14">
      <c r="A163" s="97"/>
      <c r="B163" s="95"/>
      <c r="C163" s="96"/>
      <c r="D163" s="96"/>
      <c r="E163" s="96"/>
      <c r="F163" s="78"/>
      <c r="H163" s="97"/>
      <c r="I163" s="78"/>
      <c r="J163" s="78"/>
      <c r="K163" s="78"/>
      <c r="L163" s="78"/>
      <c r="M163" s="78"/>
      <c r="N163" s="78"/>
    </row>
    <row r="164" spans="1:14">
      <c r="A164" s="97"/>
      <c r="B164" s="95"/>
      <c r="C164" s="96"/>
      <c r="D164" s="96"/>
      <c r="E164" s="96"/>
      <c r="F164" s="78"/>
      <c r="H164" s="97"/>
      <c r="I164" s="78"/>
      <c r="J164" s="78"/>
      <c r="K164" s="78"/>
      <c r="L164" s="78"/>
      <c r="M164" s="78"/>
      <c r="N164" s="78"/>
    </row>
    <row r="165" spans="1:14">
      <c r="A165" s="97"/>
      <c r="B165" s="95"/>
      <c r="C165" s="96"/>
      <c r="D165" s="96"/>
      <c r="E165" s="96"/>
      <c r="F165" s="78"/>
      <c r="H165" s="97"/>
      <c r="I165" s="78"/>
      <c r="J165" s="78"/>
      <c r="K165" s="78"/>
      <c r="L165" s="78"/>
      <c r="M165" s="78"/>
      <c r="N165" s="78"/>
    </row>
    <row r="166" spans="1:14">
      <c r="A166" s="97"/>
      <c r="B166" s="95"/>
      <c r="C166" s="96"/>
      <c r="D166" s="96"/>
      <c r="E166" s="96"/>
      <c r="F166" s="78"/>
      <c r="H166" s="97"/>
      <c r="I166" s="78"/>
      <c r="J166" s="78"/>
      <c r="K166" s="78"/>
      <c r="L166" s="78"/>
      <c r="M166" s="78"/>
      <c r="N166" s="78"/>
    </row>
    <row r="167" spans="1:14">
      <c r="A167" s="97"/>
      <c r="B167" s="95"/>
      <c r="C167" s="96"/>
      <c r="D167" s="96"/>
      <c r="E167" s="96"/>
      <c r="F167" s="78"/>
      <c r="H167" s="97"/>
      <c r="I167" s="78"/>
      <c r="J167" s="78"/>
      <c r="K167" s="78"/>
      <c r="L167" s="78"/>
      <c r="M167" s="78"/>
      <c r="N167" s="78"/>
    </row>
    <row r="168" spans="1:14">
      <c r="A168" s="97"/>
      <c r="B168" s="95"/>
      <c r="C168" s="96"/>
      <c r="D168" s="96"/>
      <c r="E168" s="96"/>
      <c r="F168" s="78"/>
      <c r="H168" s="97"/>
      <c r="I168" s="78"/>
      <c r="J168" s="78"/>
      <c r="K168" s="78"/>
      <c r="L168" s="78"/>
      <c r="M168" s="78"/>
      <c r="N168" s="78"/>
    </row>
    <row r="169" spans="1:14">
      <c r="A169" s="97"/>
      <c r="B169" s="95"/>
      <c r="C169" s="96"/>
      <c r="D169" s="96"/>
      <c r="E169" s="96"/>
      <c r="F169" s="78"/>
      <c r="H169" s="97"/>
      <c r="I169" s="78"/>
      <c r="J169" s="78"/>
      <c r="K169" s="78"/>
      <c r="L169" s="78"/>
      <c r="M169" s="78"/>
      <c r="N169" s="78"/>
    </row>
    <row r="170" spans="1:14">
      <c r="A170" s="97"/>
      <c r="B170" s="95"/>
      <c r="C170" s="96"/>
      <c r="D170" s="96"/>
      <c r="E170" s="96"/>
      <c r="F170" s="78"/>
      <c r="H170" s="97"/>
      <c r="I170" s="78"/>
      <c r="J170" s="78"/>
      <c r="K170" s="78"/>
      <c r="L170" s="78"/>
      <c r="M170" s="78"/>
      <c r="N170" s="78"/>
    </row>
    <row r="171" spans="1:14">
      <c r="A171" s="97"/>
      <c r="B171" s="95"/>
      <c r="C171" s="96"/>
      <c r="D171" s="96"/>
      <c r="E171" s="96"/>
      <c r="F171" s="78"/>
      <c r="H171" s="97"/>
      <c r="I171" s="78"/>
      <c r="J171" s="78"/>
      <c r="K171" s="78"/>
      <c r="L171" s="78"/>
      <c r="M171" s="78"/>
      <c r="N171" s="78"/>
    </row>
    <row r="172" spans="1:14">
      <c r="A172" s="97"/>
      <c r="B172" s="95"/>
      <c r="C172" s="96"/>
      <c r="D172" s="96"/>
      <c r="E172" s="96"/>
      <c r="F172" s="78"/>
      <c r="H172" s="97"/>
      <c r="I172" s="78"/>
      <c r="J172" s="78"/>
      <c r="K172" s="78"/>
      <c r="L172" s="78"/>
      <c r="M172" s="78"/>
      <c r="N172" s="78"/>
    </row>
    <row r="173" spans="1:14">
      <c r="A173" s="97"/>
      <c r="B173" s="95"/>
      <c r="C173" s="96"/>
      <c r="D173" s="96"/>
      <c r="E173" s="96"/>
      <c r="F173" s="78"/>
      <c r="H173" s="97"/>
      <c r="I173" s="78"/>
      <c r="J173" s="78"/>
      <c r="K173" s="78"/>
      <c r="L173" s="78"/>
      <c r="M173" s="78"/>
      <c r="N173" s="78"/>
    </row>
    <row r="174" spans="1:14">
      <c r="A174" s="97"/>
      <c r="B174" s="95"/>
      <c r="C174" s="96"/>
      <c r="D174" s="96"/>
      <c r="E174" s="96"/>
      <c r="F174" s="78"/>
      <c r="H174" s="97"/>
      <c r="I174" s="78"/>
      <c r="J174" s="78"/>
      <c r="K174" s="78"/>
      <c r="L174" s="78"/>
      <c r="M174" s="78"/>
      <c r="N174" s="78"/>
    </row>
    <row r="175" spans="1:14">
      <c r="A175" s="97"/>
      <c r="B175" s="95"/>
      <c r="C175" s="96"/>
      <c r="D175" s="96"/>
      <c r="E175" s="96"/>
      <c r="F175" s="78"/>
      <c r="H175" s="97"/>
      <c r="I175" s="78"/>
      <c r="J175" s="78"/>
      <c r="K175" s="78"/>
      <c r="L175" s="78"/>
      <c r="M175" s="78"/>
      <c r="N175" s="78"/>
    </row>
    <row r="176" spans="1:14">
      <c r="A176" s="97"/>
      <c r="B176" s="95"/>
      <c r="C176" s="96"/>
      <c r="D176" s="96"/>
      <c r="E176" s="96"/>
      <c r="F176" s="78"/>
      <c r="H176" s="97"/>
      <c r="I176" s="78"/>
      <c r="J176" s="78"/>
      <c r="K176" s="78"/>
      <c r="L176" s="78"/>
      <c r="M176" s="78"/>
      <c r="N176" s="78"/>
    </row>
    <row r="177" spans="1:14">
      <c r="A177" s="97"/>
      <c r="B177" s="95"/>
      <c r="C177" s="96"/>
      <c r="D177" s="96"/>
      <c r="E177" s="96"/>
      <c r="F177" s="78"/>
      <c r="H177" s="97"/>
      <c r="I177" s="78"/>
      <c r="J177" s="78"/>
      <c r="K177" s="78"/>
      <c r="L177" s="78"/>
      <c r="M177" s="78"/>
      <c r="N177" s="78"/>
    </row>
    <row r="178" spans="1:14">
      <c r="A178" s="97"/>
      <c r="B178" s="95"/>
      <c r="C178" s="96"/>
      <c r="D178" s="96"/>
      <c r="E178" s="96"/>
      <c r="F178" s="78"/>
      <c r="H178" s="97"/>
      <c r="I178" s="78"/>
      <c r="J178" s="78"/>
      <c r="K178" s="78"/>
      <c r="L178" s="78"/>
      <c r="M178" s="78"/>
      <c r="N178" s="78"/>
    </row>
    <row r="179" spans="1:14">
      <c r="A179" s="97"/>
      <c r="B179" s="95"/>
      <c r="C179" s="96"/>
      <c r="D179" s="96"/>
      <c r="E179" s="96"/>
      <c r="F179" s="78"/>
      <c r="H179" s="97"/>
      <c r="I179" s="78"/>
      <c r="J179" s="78"/>
      <c r="K179" s="78"/>
      <c r="L179" s="78"/>
      <c r="M179" s="78"/>
      <c r="N179" s="78"/>
    </row>
    <row r="180" spans="1:14">
      <c r="A180" s="97"/>
      <c r="B180" s="95"/>
      <c r="C180" s="96"/>
      <c r="D180" s="96"/>
      <c r="E180" s="96"/>
      <c r="F180" s="78"/>
      <c r="H180" s="97"/>
      <c r="I180" s="78"/>
      <c r="J180" s="78"/>
      <c r="K180" s="78"/>
      <c r="L180" s="78"/>
      <c r="M180" s="78"/>
      <c r="N180" s="78"/>
    </row>
    <row r="181" spans="1:14">
      <c r="A181" s="97"/>
      <c r="B181" s="95"/>
      <c r="C181" s="96"/>
      <c r="D181" s="96"/>
      <c r="E181" s="96"/>
      <c r="F181" s="78"/>
      <c r="H181" s="97"/>
      <c r="I181" s="78"/>
      <c r="J181" s="78"/>
      <c r="K181" s="78"/>
      <c r="L181" s="78"/>
      <c r="M181" s="78"/>
      <c r="N181" s="78"/>
    </row>
    <row r="182" spans="1:14">
      <c r="A182" s="97"/>
      <c r="B182" s="95"/>
      <c r="C182" s="96"/>
      <c r="D182" s="96"/>
      <c r="E182" s="96"/>
      <c r="F182" s="78"/>
      <c r="H182" s="97"/>
      <c r="I182" s="78"/>
      <c r="J182" s="78"/>
      <c r="K182" s="78"/>
      <c r="L182" s="78"/>
      <c r="M182" s="78"/>
      <c r="N182" s="78"/>
    </row>
    <row r="183" spans="1:14">
      <c r="A183" s="97"/>
      <c r="B183" s="95"/>
      <c r="C183" s="96"/>
      <c r="D183" s="96"/>
      <c r="E183" s="96"/>
      <c r="F183" s="78"/>
      <c r="H183" s="97"/>
      <c r="I183" s="78"/>
      <c r="J183" s="78"/>
      <c r="K183" s="78"/>
      <c r="L183" s="78"/>
      <c r="M183" s="78"/>
      <c r="N183" s="78"/>
    </row>
    <row r="184" spans="1:14">
      <c r="A184" s="97"/>
      <c r="B184" s="95"/>
      <c r="C184" s="96"/>
      <c r="D184" s="96"/>
      <c r="E184" s="96"/>
      <c r="F184" s="78"/>
      <c r="H184" s="97"/>
      <c r="I184" s="78"/>
      <c r="J184" s="78"/>
      <c r="K184" s="78"/>
      <c r="L184" s="78"/>
      <c r="M184" s="78"/>
      <c r="N184" s="78"/>
    </row>
    <row r="185" spans="1:14">
      <c r="A185" s="97"/>
      <c r="B185" s="95"/>
      <c r="C185" s="96"/>
      <c r="D185" s="96"/>
      <c r="E185" s="96"/>
      <c r="F185" s="78"/>
      <c r="H185" s="97"/>
      <c r="I185" s="78"/>
      <c r="J185" s="78"/>
      <c r="K185" s="78"/>
      <c r="L185" s="78"/>
      <c r="M185" s="78"/>
      <c r="N185" s="78"/>
    </row>
    <row r="186" spans="1:14">
      <c r="A186" s="97"/>
      <c r="B186" s="95"/>
      <c r="C186" s="96"/>
      <c r="D186" s="96"/>
      <c r="E186" s="96"/>
      <c r="F186" s="78"/>
      <c r="H186" s="97"/>
      <c r="I186" s="78"/>
      <c r="J186" s="78"/>
      <c r="K186" s="78"/>
      <c r="L186" s="78"/>
      <c r="M186" s="78"/>
      <c r="N186" s="78"/>
    </row>
    <row r="187" spans="1:14">
      <c r="A187" s="97"/>
      <c r="B187" s="95"/>
      <c r="C187" s="96"/>
      <c r="D187" s="96"/>
      <c r="E187" s="96"/>
      <c r="F187" s="78"/>
      <c r="H187" s="97"/>
      <c r="I187" s="78"/>
      <c r="J187" s="78"/>
      <c r="K187" s="78"/>
      <c r="L187" s="78"/>
      <c r="M187" s="78"/>
      <c r="N187" s="78"/>
    </row>
    <row r="188" spans="1:14">
      <c r="A188" s="97"/>
      <c r="B188" s="95"/>
      <c r="C188" s="96"/>
      <c r="D188" s="96"/>
      <c r="E188" s="96"/>
      <c r="F188" s="78"/>
      <c r="H188" s="97"/>
      <c r="I188" s="78"/>
      <c r="J188" s="78"/>
      <c r="K188" s="78"/>
      <c r="L188" s="78"/>
      <c r="M188" s="78"/>
      <c r="N188" s="78"/>
    </row>
    <row r="189" spans="1:14">
      <c r="A189" s="97"/>
      <c r="B189" s="95"/>
      <c r="C189" s="96"/>
      <c r="D189" s="96"/>
      <c r="E189" s="96"/>
      <c r="F189" s="78"/>
      <c r="H189" s="97"/>
      <c r="I189" s="78"/>
      <c r="J189" s="78"/>
      <c r="K189" s="78"/>
      <c r="L189" s="78"/>
      <c r="M189" s="78"/>
      <c r="N189" s="78"/>
    </row>
    <row r="190" spans="1:14">
      <c r="A190" s="97"/>
      <c r="B190" s="95"/>
      <c r="C190" s="96"/>
      <c r="D190" s="96"/>
      <c r="E190" s="96"/>
      <c r="F190" s="78"/>
      <c r="H190" s="97"/>
      <c r="I190" s="78"/>
      <c r="J190" s="78"/>
      <c r="K190" s="78"/>
      <c r="L190" s="78"/>
      <c r="M190" s="78"/>
      <c r="N190" s="78"/>
    </row>
    <row r="191" spans="1:14">
      <c r="A191" s="97"/>
      <c r="B191" s="95"/>
      <c r="C191" s="96"/>
      <c r="D191" s="96"/>
      <c r="E191" s="96"/>
      <c r="F191" s="78"/>
      <c r="H191" s="97"/>
      <c r="I191" s="78"/>
      <c r="J191" s="78"/>
      <c r="K191" s="78"/>
      <c r="L191" s="78"/>
      <c r="M191" s="78"/>
      <c r="N191" s="78"/>
    </row>
    <row r="192" spans="1:14">
      <c r="A192" s="97"/>
      <c r="B192" s="95"/>
      <c r="C192" s="96"/>
      <c r="D192" s="96"/>
      <c r="E192" s="96"/>
      <c r="F192" s="78"/>
      <c r="H192" s="97"/>
      <c r="I192" s="78"/>
      <c r="J192" s="78"/>
      <c r="K192" s="78"/>
      <c r="L192" s="78"/>
      <c r="M192" s="78"/>
      <c r="N192" s="78"/>
    </row>
    <row r="193" spans="1:14">
      <c r="A193" s="97"/>
      <c r="B193" s="95"/>
      <c r="C193" s="96"/>
      <c r="D193" s="96"/>
      <c r="E193" s="96"/>
      <c r="F193" s="78"/>
      <c r="H193" s="97"/>
      <c r="I193" s="78"/>
      <c r="J193" s="78"/>
      <c r="K193" s="78"/>
      <c r="L193" s="78"/>
      <c r="M193" s="78"/>
      <c r="N193" s="78"/>
    </row>
    <row r="194" spans="1:14">
      <c r="A194" s="97"/>
      <c r="B194" s="95"/>
      <c r="C194" s="96"/>
      <c r="D194" s="96"/>
      <c r="E194" s="96"/>
      <c r="F194" s="78"/>
      <c r="H194" s="97"/>
      <c r="I194" s="78"/>
      <c r="J194" s="78"/>
      <c r="K194" s="78"/>
      <c r="L194" s="78"/>
      <c r="M194" s="78"/>
      <c r="N194" s="78"/>
    </row>
    <row r="195" spans="1:14">
      <c r="A195" s="97"/>
      <c r="B195" s="95"/>
      <c r="C195" s="96"/>
      <c r="D195" s="96"/>
      <c r="E195" s="96"/>
      <c r="F195" s="78"/>
      <c r="H195" s="97"/>
      <c r="I195" s="78"/>
      <c r="J195" s="78"/>
      <c r="K195" s="78"/>
      <c r="L195" s="78"/>
      <c r="M195" s="78"/>
      <c r="N195" s="78"/>
    </row>
    <row r="196" spans="1:14">
      <c r="A196" s="97"/>
      <c r="B196" s="95"/>
      <c r="C196" s="96"/>
      <c r="D196" s="96"/>
      <c r="E196" s="96"/>
      <c r="F196" s="78"/>
      <c r="H196" s="97"/>
      <c r="I196" s="78"/>
      <c r="J196" s="78"/>
      <c r="K196" s="78"/>
      <c r="L196" s="78"/>
      <c r="M196" s="78"/>
      <c r="N196" s="78"/>
    </row>
    <row r="197" spans="1:14">
      <c r="A197" s="97"/>
      <c r="B197" s="95"/>
      <c r="C197" s="96"/>
      <c r="D197" s="96"/>
      <c r="E197" s="96"/>
      <c r="F197" s="78"/>
      <c r="H197" s="97"/>
      <c r="I197" s="78"/>
      <c r="J197" s="78"/>
      <c r="K197" s="78"/>
      <c r="L197" s="78"/>
      <c r="M197" s="78"/>
      <c r="N197" s="78"/>
    </row>
    <row r="198" spans="1:14">
      <c r="A198" s="97"/>
      <c r="B198" s="95"/>
      <c r="C198" s="96"/>
      <c r="D198" s="96"/>
      <c r="E198" s="96"/>
      <c r="F198" s="78"/>
      <c r="H198" s="97"/>
      <c r="I198" s="78"/>
      <c r="J198" s="78"/>
      <c r="K198" s="78"/>
      <c r="L198" s="78"/>
      <c r="M198" s="78"/>
      <c r="N198" s="78"/>
    </row>
    <row r="199" spans="1:14">
      <c r="A199" s="97"/>
      <c r="B199" s="95"/>
      <c r="C199" s="96"/>
      <c r="D199" s="96"/>
      <c r="E199" s="96"/>
      <c r="F199" s="78"/>
      <c r="H199" s="97"/>
      <c r="I199" s="78"/>
      <c r="J199" s="78"/>
      <c r="K199" s="78"/>
      <c r="L199" s="78"/>
      <c r="M199" s="78"/>
      <c r="N199" s="78"/>
    </row>
    <row r="200" spans="1:14">
      <c r="A200" s="97"/>
      <c r="B200" s="95"/>
      <c r="C200" s="96"/>
      <c r="D200" s="96"/>
      <c r="E200" s="96"/>
      <c r="F200" s="78"/>
      <c r="H200" s="97"/>
      <c r="I200" s="78"/>
      <c r="J200" s="78"/>
      <c r="K200" s="78"/>
      <c r="L200" s="78"/>
      <c r="M200" s="78"/>
      <c r="N200" s="78"/>
    </row>
    <row r="201" spans="1:14">
      <c r="A201" s="97"/>
      <c r="B201" s="95"/>
      <c r="C201" s="96"/>
      <c r="D201" s="96"/>
      <c r="E201" s="96"/>
      <c r="F201" s="78"/>
      <c r="H201" s="97"/>
      <c r="I201" s="78"/>
      <c r="J201" s="78"/>
      <c r="K201" s="78"/>
      <c r="L201" s="78"/>
      <c r="M201" s="78"/>
      <c r="N201" s="78"/>
    </row>
    <row r="202" spans="1:14">
      <c r="A202" s="97"/>
      <c r="B202" s="95"/>
      <c r="C202" s="96"/>
      <c r="D202" s="96"/>
      <c r="E202" s="96"/>
      <c r="F202" s="78"/>
      <c r="H202" s="97"/>
      <c r="I202" s="78"/>
      <c r="J202" s="78"/>
      <c r="K202" s="78"/>
      <c r="L202" s="78"/>
      <c r="M202" s="78"/>
      <c r="N202" s="78"/>
    </row>
    <row r="203" spans="1:14">
      <c r="A203" s="97"/>
      <c r="B203" s="95"/>
      <c r="C203" s="96"/>
      <c r="D203" s="96"/>
      <c r="E203" s="96"/>
      <c r="F203" s="78"/>
      <c r="H203" s="97"/>
      <c r="I203" s="78"/>
      <c r="J203" s="78"/>
      <c r="K203" s="78"/>
      <c r="L203" s="78"/>
      <c r="M203" s="78"/>
      <c r="N203" s="78"/>
    </row>
    <row r="204" spans="1:14">
      <c r="A204" s="97"/>
      <c r="B204" s="95"/>
      <c r="C204" s="96"/>
      <c r="D204" s="96"/>
      <c r="E204" s="96"/>
      <c r="F204" s="78"/>
      <c r="H204" s="97"/>
      <c r="I204" s="78"/>
      <c r="J204" s="78"/>
      <c r="K204" s="78"/>
      <c r="L204" s="78"/>
      <c r="M204" s="78"/>
      <c r="N204" s="78"/>
    </row>
    <row r="205" spans="1:14">
      <c r="A205" s="97"/>
      <c r="B205" s="95"/>
      <c r="C205" s="96"/>
      <c r="D205" s="96"/>
      <c r="E205" s="96"/>
      <c r="F205" s="78"/>
      <c r="H205" s="97"/>
      <c r="I205" s="78"/>
      <c r="J205" s="78"/>
      <c r="K205" s="78"/>
      <c r="L205" s="78"/>
      <c r="M205" s="78"/>
      <c r="N205" s="78"/>
    </row>
    <row r="206" spans="1:14">
      <c r="A206" s="97"/>
      <c r="B206" s="95"/>
      <c r="C206" s="96"/>
      <c r="D206" s="96"/>
      <c r="E206" s="96"/>
      <c r="F206" s="78"/>
      <c r="H206" s="97"/>
      <c r="I206" s="78"/>
      <c r="J206" s="78"/>
      <c r="K206" s="78"/>
      <c r="L206" s="78"/>
      <c r="M206" s="78"/>
      <c r="N206" s="78"/>
    </row>
    <row r="207" spans="1:14">
      <c r="A207" s="97"/>
      <c r="B207" s="95"/>
      <c r="C207" s="96"/>
      <c r="D207" s="96"/>
      <c r="E207" s="96"/>
      <c r="F207" s="78"/>
      <c r="H207" s="97"/>
      <c r="I207" s="78"/>
      <c r="J207" s="78"/>
      <c r="K207" s="78"/>
      <c r="L207" s="78"/>
      <c r="M207" s="78"/>
      <c r="N207" s="78"/>
    </row>
    <row r="208" spans="1:14">
      <c r="A208" s="97"/>
      <c r="B208" s="95"/>
      <c r="C208" s="96"/>
      <c r="D208" s="96"/>
      <c r="E208" s="96"/>
      <c r="F208" s="78"/>
      <c r="H208" s="97"/>
      <c r="I208" s="78"/>
      <c r="J208" s="78"/>
      <c r="K208" s="78"/>
      <c r="L208" s="78"/>
      <c r="M208" s="78"/>
      <c r="N208" s="78"/>
    </row>
    <row r="209" spans="1:14">
      <c r="A209" s="97"/>
      <c r="B209" s="95"/>
      <c r="C209" s="96"/>
      <c r="D209" s="96"/>
      <c r="E209" s="96"/>
      <c r="F209" s="78"/>
      <c r="H209" s="97"/>
      <c r="I209" s="78"/>
      <c r="J209" s="78"/>
      <c r="K209" s="78"/>
      <c r="L209" s="78"/>
      <c r="M209" s="78"/>
      <c r="N209" s="78"/>
    </row>
    <row r="210" spans="1:14">
      <c r="A210" s="97"/>
      <c r="B210" s="95"/>
      <c r="C210" s="96"/>
      <c r="D210" s="96"/>
      <c r="E210" s="96"/>
      <c r="F210" s="78"/>
      <c r="H210" s="97"/>
      <c r="I210" s="78"/>
      <c r="J210" s="78"/>
      <c r="K210" s="78"/>
      <c r="L210" s="78"/>
      <c r="M210" s="78"/>
      <c r="N210" s="78"/>
    </row>
    <row r="211" spans="1:14">
      <c r="A211" s="97"/>
      <c r="B211" s="95"/>
      <c r="C211" s="96"/>
      <c r="D211" s="96"/>
      <c r="E211" s="96"/>
      <c r="F211" s="78"/>
      <c r="H211" s="97"/>
      <c r="I211" s="78"/>
      <c r="J211" s="78"/>
      <c r="K211" s="78"/>
      <c r="L211" s="78"/>
      <c r="M211" s="78"/>
      <c r="N211" s="78"/>
    </row>
    <row r="212" spans="1:14">
      <c r="A212" s="97"/>
      <c r="B212" s="95"/>
      <c r="C212" s="96"/>
      <c r="D212" s="96"/>
      <c r="E212" s="96"/>
      <c r="F212" s="78"/>
      <c r="H212" s="97"/>
      <c r="I212" s="78"/>
      <c r="J212" s="78"/>
      <c r="K212" s="78"/>
      <c r="L212" s="78"/>
      <c r="M212" s="78"/>
      <c r="N212" s="78"/>
    </row>
    <row r="213" spans="1:14">
      <c r="A213" s="97"/>
      <c r="B213" s="95"/>
      <c r="C213" s="96"/>
      <c r="D213" s="96"/>
      <c r="E213" s="96"/>
      <c r="F213" s="78"/>
      <c r="H213" s="97"/>
      <c r="I213" s="78"/>
      <c r="J213" s="78"/>
      <c r="K213" s="78"/>
      <c r="L213" s="78"/>
      <c r="M213" s="78"/>
      <c r="N213" s="78"/>
    </row>
    <row r="214" spans="1:14">
      <c r="A214" s="97"/>
      <c r="B214" s="95"/>
      <c r="C214" s="96"/>
      <c r="D214" s="96"/>
      <c r="E214" s="96"/>
      <c r="F214" s="78"/>
      <c r="H214" s="97"/>
      <c r="I214" s="78"/>
      <c r="J214" s="78"/>
      <c r="K214" s="78"/>
      <c r="L214" s="78"/>
      <c r="M214" s="78"/>
      <c r="N214" s="78"/>
    </row>
    <row r="215" spans="1:14">
      <c r="A215" s="97"/>
      <c r="B215" s="95"/>
      <c r="C215" s="96"/>
      <c r="D215" s="96"/>
      <c r="E215" s="96"/>
      <c r="F215" s="78"/>
      <c r="H215" s="97"/>
      <c r="I215" s="78"/>
      <c r="J215" s="78"/>
      <c r="K215" s="78"/>
      <c r="L215" s="78"/>
      <c r="M215" s="78"/>
      <c r="N215" s="78"/>
    </row>
    <row r="216" spans="1:14">
      <c r="A216" s="97"/>
      <c r="B216" s="95"/>
      <c r="C216" s="96"/>
      <c r="D216" s="96"/>
      <c r="E216" s="96"/>
      <c r="F216" s="78"/>
      <c r="H216" s="97"/>
      <c r="I216" s="78"/>
      <c r="J216" s="78"/>
      <c r="K216" s="78"/>
      <c r="L216" s="78"/>
      <c r="M216" s="78"/>
      <c r="N216" s="78"/>
    </row>
    <row r="217" spans="1:14">
      <c r="A217" s="97"/>
      <c r="B217" s="95"/>
      <c r="C217" s="96"/>
      <c r="D217" s="96"/>
      <c r="E217" s="96"/>
      <c r="F217" s="78"/>
      <c r="H217" s="97"/>
      <c r="I217" s="78"/>
      <c r="J217" s="78"/>
      <c r="K217" s="78"/>
      <c r="L217" s="78"/>
      <c r="M217" s="78"/>
      <c r="N217" s="78"/>
    </row>
    <row r="218" spans="1:14">
      <c r="A218" s="97"/>
      <c r="B218" s="95"/>
      <c r="C218" s="96"/>
      <c r="D218" s="96"/>
      <c r="E218" s="96"/>
      <c r="F218" s="78"/>
      <c r="H218" s="97"/>
      <c r="I218" s="78"/>
      <c r="J218" s="78"/>
      <c r="K218" s="78"/>
      <c r="L218" s="78"/>
      <c r="M218" s="78"/>
      <c r="N218" s="78"/>
    </row>
    <row r="219" spans="1:14">
      <c r="A219" s="97"/>
      <c r="B219" s="95"/>
      <c r="C219" s="96"/>
      <c r="D219" s="96"/>
      <c r="E219" s="96"/>
      <c r="F219" s="78"/>
      <c r="H219" s="97"/>
      <c r="I219" s="78"/>
      <c r="J219" s="78"/>
      <c r="K219" s="78"/>
      <c r="L219" s="78"/>
      <c r="M219" s="78"/>
      <c r="N219" s="78"/>
    </row>
    <row r="220" spans="1:14">
      <c r="A220" s="97"/>
      <c r="B220" s="95"/>
      <c r="C220" s="96"/>
      <c r="D220" s="96"/>
      <c r="E220" s="96"/>
      <c r="F220" s="78"/>
      <c r="H220" s="97"/>
      <c r="I220" s="78"/>
      <c r="J220" s="78"/>
      <c r="K220" s="78"/>
      <c r="L220" s="78"/>
      <c r="M220" s="78"/>
      <c r="N220" s="78"/>
    </row>
    <row r="221" spans="1:14">
      <c r="A221" s="97"/>
      <c r="B221" s="95"/>
      <c r="C221" s="96"/>
      <c r="D221" s="96"/>
      <c r="E221" s="96"/>
      <c r="F221" s="78"/>
      <c r="H221" s="97"/>
      <c r="I221" s="78"/>
      <c r="J221" s="78"/>
      <c r="K221" s="78"/>
      <c r="L221" s="78"/>
      <c r="M221" s="78"/>
      <c r="N221" s="78"/>
    </row>
    <row r="222" spans="1:14">
      <c r="A222" s="97"/>
      <c r="B222" s="95"/>
      <c r="C222" s="96"/>
      <c r="D222" s="96"/>
      <c r="E222" s="96"/>
      <c r="F222" s="78"/>
      <c r="H222" s="97"/>
      <c r="I222" s="78"/>
      <c r="J222" s="78"/>
      <c r="K222" s="78"/>
      <c r="L222" s="78"/>
      <c r="M222" s="78"/>
      <c r="N222" s="78"/>
    </row>
    <row r="223" spans="1:14">
      <c r="A223" s="97"/>
      <c r="B223" s="95"/>
      <c r="C223" s="96"/>
      <c r="D223" s="96"/>
      <c r="E223" s="96"/>
      <c r="F223" s="78"/>
      <c r="H223" s="97"/>
      <c r="I223" s="78"/>
      <c r="J223" s="78"/>
      <c r="K223" s="78"/>
      <c r="L223" s="78"/>
      <c r="M223" s="78"/>
      <c r="N223" s="78"/>
    </row>
    <row r="224" spans="1:14">
      <c r="A224" s="97"/>
      <c r="B224" s="95"/>
      <c r="C224" s="96"/>
      <c r="D224" s="96"/>
      <c r="E224" s="96"/>
      <c r="F224" s="78"/>
      <c r="H224" s="97"/>
      <c r="I224" s="78"/>
      <c r="J224" s="78"/>
      <c r="K224" s="78"/>
      <c r="L224" s="78"/>
      <c r="M224" s="78"/>
      <c r="N224" s="78"/>
    </row>
    <row r="225" spans="1:14">
      <c r="A225" s="97"/>
      <c r="B225" s="95"/>
      <c r="C225" s="96"/>
      <c r="D225" s="96"/>
      <c r="E225" s="96"/>
      <c r="F225" s="78"/>
      <c r="H225" s="97"/>
      <c r="I225" s="78"/>
      <c r="J225" s="78"/>
      <c r="K225" s="78"/>
      <c r="L225" s="78"/>
      <c r="M225" s="78"/>
      <c r="N225" s="78"/>
    </row>
    <row r="226" spans="1:14">
      <c r="A226" s="97"/>
      <c r="B226" s="95"/>
      <c r="C226" s="96"/>
      <c r="D226" s="96"/>
      <c r="E226" s="96"/>
      <c r="F226" s="78"/>
      <c r="H226" s="97"/>
      <c r="I226" s="78"/>
      <c r="J226" s="78"/>
      <c r="K226" s="78"/>
      <c r="L226" s="78"/>
      <c r="M226" s="78"/>
      <c r="N226" s="78"/>
    </row>
    <row r="227" spans="1:14">
      <c r="A227" s="97"/>
      <c r="B227" s="95"/>
      <c r="C227" s="96"/>
      <c r="D227" s="96"/>
      <c r="E227" s="96"/>
      <c r="F227" s="78"/>
      <c r="H227" s="97"/>
      <c r="I227" s="78"/>
      <c r="J227" s="78"/>
      <c r="K227" s="78"/>
      <c r="L227" s="78"/>
      <c r="M227" s="78"/>
      <c r="N227" s="78"/>
    </row>
    <row r="228" spans="1:14">
      <c r="A228" s="97"/>
      <c r="B228" s="95"/>
      <c r="C228" s="96"/>
      <c r="D228" s="96"/>
      <c r="E228" s="96"/>
      <c r="F228" s="78"/>
      <c r="H228" s="97"/>
      <c r="I228" s="78"/>
      <c r="J228" s="78"/>
      <c r="K228" s="78"/>
      <c r="L228" s="78"/>
      <c r="M228" s="78"/>
      <c r="N228" s="78"/>
    </row>
    <row r="229" spans="1:14">
      <c r="A229" s="97"/>
      <c r="B229" s="95"/>
      <c r="C229" s="96"/>
      <c r="D229" s="96"/>
      <c r="E229" s="96"/>
      <c r="F229" s="78"/>
      <c r="H229" s="97"/>
      <c r="I229" s="78"/>
      <c r="J229" s="78"/>
      <c r="K229" s="78"/>
      <c r="L229" s="78"/>
      <c r="M229" s="78"/>
      <c r="N229" s="78"/>
    </row>
    <row r="230" spans="1:14">
      <c r="A230" s="97"/>
      <c r="B230" s="95"/>
      <c r="C230" s="96"/>
      <c r="D230" s="96"/>
      <c r="E230" s="96"/>
      <c r="F230" s="78"/>
      <c r="H230" s="97"/>
      <c r="I230" s="78"/>
      <c r="J230" s="78"/>
      <c r="K230" s="78"/>
      <c r="L230" s="78"/>
      <c r="M230" s="78"/>
      <c r="N230" s="78"/>
    </row>
    <row r="231" spans="1:14">
      <c r="A231" s="97"/>
      <c r="B231" s="95"/>
      <c r="C231" s="96"/>
      <c r="D231" s="96"/>
      <c r="E231" s="96"/>
      <c r="F231" s="78"/>
      <c r="H231" s="97"/>
      <c r="I231" s="78"/>
      <c r="J231" s="78"/>
      <c r="K231" s="78"/>
      <c r="L231" s="78"/>
      <c r="M231" s="78"/>
      <c r="N231" s="78"/>
    </row>
    <row r="232" spans="1:14">
      <c r="A232" s="97"/>
      <c r="B232" s="95"/>
      <c r="C232" s="96"/>
      <c r="D232" s="96"/>
      <c r="E232" s="96"/>
      <c r="F232" s="78"/>
      <c r="H232" s="97"/>
      <c r="I232" s="78"/>
      <c r="J232" s="78"/>
      <c r="K232" s="78"/>
      <c r="L232" s="78"/>
      <c r="M232" s="78"/>
      <c r="N232" s="78"/>
    </row>
    <row r="233" spans="1:14">
      <c r="A233" s="97"/>
      <c r="B233" s="95"/>
      <c r="C233" s="96"/>
      <c r="D233" s="96"/>
      <c r="E233" s="96"/>
      <c r="F233" s="78"/>
      <c r="H233" s="97"/>
      <c r="I233" s="78"/>
      <c r="J233" s="78"/>
      <c r="K233" s="78"/>
      <c r="L233" s="78"/>
      <c r="M233" s="78"/>
      <c r="N233" s="78"/>
    </row>
    <row r="234" spans="1:14">
      <c r="A234" s="97"/>
      <c r="B234" s="95"/>
      <c r="C234" s="96"/>
      <c r="D234" s="96"/>
      <c r="E234" s="96"/>
      <c r="F234" s="78"/>
      <c r="H234" s="97"/>
      <c r="I234" s="78"/>
      <c r="J234" s="78"/>
      <c r="K234" s="78"/>
      <c r="L234" s="78"/>
      <c r="M234" s="78"/>
      <c r="N234" s="78"/>
    </row>
    <row r="235" spans="1:14">
      <c r="A235" s="97"/>
      <c r="B235" s="95"/>
      <c r="C235" s="96"/>
      <c r="D235" s="96"/>
      <c r="E235" s="96"/>
      <c r="F235" s="78"/>
      <c r="H235" s="97"/>
      <c r="I235" s="78"/>
      <c r="J235" s="78"/>
      <c r="K235" s="78"/>
      <c r="L235" s="78"/>
      <c r="M235" s="78"/>
      <c r="N235" s="78"/>
    </row>
    <row r="236" spans="1:14">
      <c r="A236" s="97"/>
      <c r="B236" s="95"/>
      <c r="C236" s="96"/>
      <c r="D236" s="96"/>
      <c r="E236" s="96"/>
      <c r="F236" s="78"/>
      <c r="H236" s="97"/>
      <c r="I236" s="78"/>
      <c r="J236" s="78"/>
      <c r="K236" s="78"/>
      <c r="L236" s="78"/>
      <c r="M236" s="78"/>
      <c r="N236" s="78"/>
    </row>
    <row r="237" spans="1:14">
      <c r="A237" s="97"/>
      <c r="B237" s="95"/>
      <c r="C237" s="96"/>
      <c r="D237" s="96"/>
      <c r="E237" s="96"/>
      <c r="F237" s="78"/>
      <c r="H237" s="97"/>
      <c r="I237" s="78"/>
      <c r="J237" s="78"/>
      <c r="K237" s="78"/>
      <c r="L237" s="78"/>
      <c r="M237" s="78"/>
      <c r="N237" s="78"/>
    </row>
    <row r="238" spans="1:14">
      <c r="A238" s="97"/>
      <c r="B238" s="95"/>
      <c r="C238" s="96"/>
      <c r="D238" s="96"/>
      <c r="E238" s="96"/>
      <c r="F238" s="78"/>
      <c r="H238" s="97"/>
      <c r="I238" s="78"/>
      <c r="J238" s="78"/>
      <c r="K238" s="78"/>
      <c r="L238" s="78"/>
      <c r="M238" s="78"/>
      <c r="N238" s="78"/>
    </row>
    <row r="239" spans="1:14">
      <c r="A239" s="97"/>
      <c r="B239" s="95"/>
      <c r="C239" s="96"/>
      <c r="D239" s="96"/>
      <c r="E239" s="96"/>
      <c r="F239" s="78"/>
      <c r="H239" s="97"/>
      <c r="I239" s="78"/>
      <c r="J239" s="78"/>
      <c r="K239" s="78"/>
      <c r="L239" s="78"/>
      <c r="M239" s="78"/>
      <c r="N239" s="78"/>
    </row>
    <row r="240" spans="1:14">
      <c r="A240" s="97"/>
      <c r="B240" s="95"/>
      <c r="C240" s="96"/>
      <c r="D240" s="96"/>
      <c r="E240" s="96"/>
      <c r="F240" s="78"/>
      <c r="H240" s="97"/>
      <c r="I240" s="78"/>
      <c r="J240" s="78"/>
      <c r="K240" s="78"/>
      <c r="L240" s="78"/>
      <c r="M240" s="78"/>
      <c r="N240" s="78"/>
    </row>
    <row r="241" spans="1:14">
      <c r="A241" s="97"/>
      <c r="B241" s="95"/>
      <c r="C241" s="96"/>
      <c r="D241" s="96"/>
      <c r="E241" s="96"/>
      <c r="F241" s="78"/>
      <c r="H241" s="97"/>
      <c r="I241" s="78"/>
      <c r="J241" s="78"/>
      <c r="K241" s="78"/>
      <c r="L241" s="78"/>
      <c r="M241" s="78"/>
      <c r="N241" s="78"/>
    </row>
    <row r="242" spans="1:14">
      <c r="A242" s="97"/>
      <c r="B242" s="95"/>
      <c r="C242" s="96"/>
      <c r="D242" s="96"/>
      <c r="E242" s="96"/>
      <c r="F242" s="78"/>
      <c r="H242" s="97"/>
      <c r="I242" s="78"/>
      <c r="J242" s="78"/>
      <c r="K242" s="78"/>
      <c r="L242" s="78"/>
      <c r="M242" s="78"/>
      <c r="N242" s="78"/>
    </row>
    <row r="243" spans="1:14">
      <c r="A243" s="97"/>
      <c r="B243" s="95"/>
      <c r="C243" s="96"/>
      <c r="D243" s="96"/>
      <c r="E243" s="96"/>
      <c r="F243" s="78"/>
      <c r="H243" s="97"/>
      <c r="I243" s="78"/>
      <c r="J243" s="78"/>
      <c r="K243" s="78"/>
      <c r="L243" s="78"/>
      <c r="M243" s="78"/>
      <c r="N243" s="78"/>
    </row>
  </sheetData>
  <mergeCells count="14">
    <mergeCell ref="A32:A33"/>
    <mergeCell ref="F32:F33"/>
    <mergeCell ref="I40:J40"/>
    <mergeCell ref="F21:F24"/>
    <mergeCell ref="B11:B12"/>
    <mergeCell ref="H27:M27"/>
    <mergeCell ref="H29:K29"/>
    <mergeCell ref="H38:K38"/>
    <mergeCell ref="H39:M39"/>
    <mergeCell ref="F17:F18"/>
    <mergeCell ref="F11:F12"/>
    <mergeCell ref="G11:G12"/>
    <mergeCell ref="D11:D12"/>
    <mergeCell ref="C11:C12"/>
  </mergeCells>
  <hyperlinks>
    <hyperlink ref="F3" r:id="rId1" display="Slash 4x4 Ultimate also compatible with the platform deck, but is more expensive ($529.95): https://traxxas.com/68277-4-slash-4x4-vxl-ultimate                                                             Cheaper ($329.95) but weaker alternative (https://a." xr:uid="{6B5FAF59-1050-A64A-A27A-BDC08EE50612}"/>
    <hyperlink ref="H3" r:id="rId2" xr:uid="{ACE2C407-47DF-7E40-A234-BB7BF774EBD8}"/>
    <hyperlink ref="H4" r:id="rId3" xr:uid="{739CD1E6-8F0D-3F4F-BEC0-D354287F71EA}"/>
    <hyperlink ref="H7" r:id="rId4" xr:uid="{AFBC7B24-0ED3-A647-813B-BF5B86081899}"/>
    <hyperlink ref="H9" r:id="rId5" xr:uid="{14CF4A7E-2D09-F04E-BE48-FB5486B2E0DF}"/>
    <hyperlink ref="H10" r:id="rId6" xr:uid="{D2AB1BDA-E328-BE4E-9274-3ED298882414}"/>
    <hyperlink ref="H11" r:id="rId7" xr:uid="{1DCD58C0-D70B-C243-A188-3B1E9FA64546}"/>
    <hyperlink ref="H12" r:id="rId8" xr:uid="{F8E883CC-E4DC-6B4B-B641-26CEEBB5D893}"/>
    <hyperlink ref="H13" r:id="rId9" xr:uid="{E64F6AC6-ACD3-154E-BF92-EAF86E758AC0}"/>
    <hyperlink ref="H14" r:id="rId10" xr:uid="{B27DDAC5-CC68-284F-833D-CE9757D9AED9}"/>
    <hyperlink ref="H15" r:id="rId11" xr:uid="{63BB8ADF-116E-FA4D-BDCD-60DAB25482CF}"/>
    <hyperlink ref="H19" r:id="rId12" xr:uid="{F86B4FC8-F193-1740-8D46-C49F9E2617D1}"/>
    <hyperlink ref="H21" r:id="rId13" xr:uid="{1E1D5BF2-0632-D84C-B236-4B18E5BC52AE}"/>
    <hyperlink ref="H28" r:id="rId14" xr:uid="{8C71893D-1067-324D-ADD6-376CE55C9C33}"/>
    <hyperlink ref="H29" r:id="rId15" xr:uid="{AB345B87-E392-3947-847C-4BA072111E1E}"/>
    <hyperlink ref="H30" r:id="rId16" xr:uid="{F00F89C4-EAC0-AA4D-8678-3F4C6C99B46A}"/>
    <hyperlink ref="H31" r:id="rId17" xr:uid="{D6F32759-3DD4-7643-A149-BD89E4F5AED3}"/>
    <hyperlink ref="H32" r:id="rId18" xr:uid="{EACCCC6A-5BC0-8E44-9251-6826D32B27F2}"/>
    <hyperlink ref="H34" r:id="rId19" xr:uid="{E3A4850D-058B-D648-A5A9-9183B2B9F83F}"/>
    <hyperlink ref="H36" r:id="rId20" xr:uid="{FEAF7AAC-5FC1-1D45-83A3-B8D6A79C95C2}"/>
    <hyperlink ref="H37" r:id="rId21" xr:uid="{B76B063F-FA5A-B044-8B56-E5F462460F66}"/>
    <hyperlink ref="H38" r:id="rId22" xr:uid="{8E6C6856-32BD-E44C-81CC-8DE0DB343A51}"/>
    <hyperlink ref="H39" r:id="rId23" xr:uid="{4E899950-B847-E746-9292-7A65300BA928}"/>
    <hyperlink ref="H40" r:id="rId24" xr:uid="{8B298570-09BF-FB45-8FB5-2229C6C3A92E}"/>
    <hyperlink ref="H6" r:id="rId25" xr:uid="{BA69921A-E5AB-1241-9791-EFD255B8C4F6}"/>
    <hyperlink ref="H5" r:id="rId26" xr:uid="{CF1C5A3A-21BB-2F43-8BA7-C45E8115739E}"/>
    <hyperlink ref="H17" r:id="rId27" xr:uid="{5911A9B1-2F07-7D4D-ADD8-A591DD70CC7A}"/>
    <hyperlink ref="G17" r:id="rId28" xr:uid="{4F589D68-222B-4A43-B023-CE0E141D78F2}"/>
    <hyperlink ref="G7" r:id="rId29" xr:uid="{E044DA96-F58F-3C4B-AD7C-99EA36CB98EB}"/>
    <hyperlink ref="G6" r:id="rId30" xr:uid="{BA30D6D8-7D8E-644D-8435-5084F88689DF}"/>
    <hyperlink ref="G21" r:id="rId31" xr:uid="{3275596D-B97C-1644-9A54-8211C74ACFFE}"/>
    <hyperlink ref="G22" r:id="rId32" xr:uid="{AB9F5295-5EC2-6C4C-AE6E-E2FB45530532}"/>
    <hyperlink ref="G23" r:id="rId33" xr:uid="{0AC7C11A-F9B5-7444-993F-5B213DD99FB5}"/>
    <hyperlink ref="G24" r:id="rId34" xr:uid="{1FF69868-1BD1-DC4C-9457-B52F7AA131D3}"/>
    <hyperlink ref="G5" r:id="rId35" xr:uid="{689DF752-7941-4144-8E85-2BC5EDE4EE9F}"/>
    <hyperlink ref="G4" r:id="rId36" xr:uid="{2934E811-74B4-4046-9874-E7173E570E08}"/>
    <hyperlink ref="G11:G12" r:id="rId37" display="https://amzn.eu/d/0934urF9" xr:uid="{8676A0BC-3CA7-5A4D-9375-C4DB3329C5CF}"/>
    <hyperlink ref="G28" r:id="rId38" xr:uid="{F5D99B89-6CAA-7744-9475-E3D723F36977}"/>
    <hyperlink ref="G29" r:id="rId39" xr:uid="{64C2AE3C-53EB-F447-A72F-B8254E0A6943}"/>
    <hyperlink ref="G30" r:id="rId40" xr:uid="{D3DDAC29-B62D-8B48-AB0E-61B1D189861F}"/>
    <hyperlink ref="G31" r:id="rId41" xr:uid="{2DE65291-3594-8C40-814C-4D30492506AA}"/>
    <hyperlink ref="G33" r:id="rId42" xr:uid="{E066F5DA-2521-654D-A23E-5C0473B1DEBF}"/>
    <hyperlink ref="G34" r:id="rId43" xr:uid="{58EBA077-E5F2-994C-8461-2CB641F3F2DD}"/>
    <hyperlink ref="G36" r:id="rId44" xr:uid="{F414D4C9-B9F1-AB42-A1EA-7F72CE2987F0}"/>
    <hyperlink ref="G37" r:id="rId45" xr:uid="{408FDA23-B771-5D46-B410-D154953720BF}"/>
    <hyperlink ref="G38" r:id="rId46" xr:uid="{9F446349-F706-4F48-A3F0-4AE8C344ED77}"/>
    <hyperlink ref="G39" r:id="rId47" xr:uid="{931E712D-264A-254F-ACE0-A9FEC29370E1}"/>
    <hyperlink ref="G40" r:id="rId48" xr:uid="{0B1E7D38-FD1B-B84C-973D-74B46D3BD0BE}"/>
    <hyperlink ref="G27" r:id="rId49" xr:uid="{5E2B787A-0D4D-C045-BC84-CEEBEC939FCE}"/>
    <hyperlink ref="G26" r:id="rId50" xr:uid="{F77BF5C0-0154-FC41-9146-71EC5D057BEC}"/>
    <hyperlink ref="H27" r:id="rId51" xr:uid="{9ABBE11D-9DF4-3A4E-89FF-ED0271DE2853}"/>
    <hyperlink ref="H26" r:id="rId52" xr:uid="{42BA3C50-237E-2D4A-B9C5-11BDE8A4FD5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8"/>
  <sheetViews>
    <sheetView workbookViewId="0">
      <pane xSplit="1" topLeftCell="B1" activePane="topRight" state="frozen"/>
      <selection pane="topRight" activeCell="E3" sqref="E3"/>
    </sheetView>
  </sheetViews>
  <sheetFormatPr baseColWidth="10" defaultColWidth="12.6640625" defaultRowHeight="15" customHeight="1"/>
  <cols>
    <col min="1" max="1" width="49.1640625" customWidth="1"/>
    <col min="2" max="2" width="5.5" customWidth="1"/>
    <col min="3" max="3" width="12.6640625" customWidth="1"/>
    <col min="4" max="4" width="35.33203125" customWidth="1"/>
    <col min="5" max="5" width="453.33203125" customWidth="1"/>
    <col min="6" max="6" width="12.6640625" customWidth="1"/>
  </cols>
  <sheetData>
    <row r="1" spans="1:25" ht="15.75" customHeight="1">
      <c r="A1" s="1" t="s">
        <v>0</v>
      </c>
      <c r="B1" s="3" t="s">
        <v>1</v>
      </c>
      <c r="C1" s="3" t="s">
        <v>3</v>
      </c>
      <c r="D1" s="4" t="s">
        <v>4</v>
      </c>
      <c r="E1" s="6" t="s">
        <v>5</v>
      </c>
      <c r="F1" s="7"/>
      <c r="G1" s="7"/>
      <c r="H1" s="7"/>
      <c r="I1" s="7"/>
      <c r="J1" s="7"/>
      <c r="K1" s="7"/>
    </row>
    <row r="2" spans="1:25" ht="15.75" customHeight="1">
      <c r="A2" s="8" t="s">
        <v>6</v>
      </c>
      <c r="B2" s="8"/>
      <c r="C2" s="8"/>
      <c r="D2" s="8"/>
      <c r="E2" s="8"/>
      <c r="F2" s="4"/>
      <c r="G2" s="7"/>
      <c r="H2" s="7"/>
      <c r="I2" s="7"/>
      <c r="J2" s="7"/>
      <c r="K2" s="7"/>
    </row>
    <row r="3" spans="1:25" ht="15.75" customHeight="1">
      <c r="A3" s="68" t="s">
        <v>8</v>
      </c>
      <c r="B3" s="11">
        <v>1</v>
      </c>
      <c r="C3" s="12">
        <v>429.95</v>
      </c>
      <c r="D3" s="14" t="s">
        <v>10</v>
      </c>
      <c r="E3" s="15" t="s">
        <v>13</v>
      </c>
      <c r="F3" s="4"/>
      <c r="G3" s="7"/>
      <c r="H3" s="7"/>
      <c r="I3" s="7"/>
      <c r="J3" s="7"/>
      <c r="K3" s="7"/>
    </row>
    <row r="4" spans="1:25" ht="15.75" customHeight="1">
      <c r="A4" s="7" t="s">
        <v>16</v>
      </c>
      <c r="B4" s="11">
        <v>1</v>
      </c>
      <c r="C4" s="12">
        <v>89.99</v>
      </c>
      <c r="D4" s="16"/>
      <c r="E4" s="15" t="s">
        <v>19</v>
      </c>
      <c r="F4" s="16"/>
      <c r="G4" s="7"/>
      <c r="H4" s="7"/>
      <c r="I4" s="7"/>
      <c r="J4" s="7"/>
      <c r="K4" s="7"/>
    </row>
    <row r="5" spans="1:25" ht="15.75" customHeight="1">
      <c r="A5" s="7" t="s">
        <v>21</v>
      </c>
      <c r="B5" s="11">
        <v>1</v>
      </c>
      <c r="C5" s="12">
        <v>33.99</v>
      </c>
      <c r="D5" s="16"/>
      <c r="E5" s="15" t="s">
        <v>23</v>
      </c>
      <c r="F5" s="16"/>
      <c r="G5" s="7"/>
      <c r="H5" s="7"/>
      <c r="I5" s="7"/>
      <c r="J5" s="7"/>
      <c r="K5" s="7"/>
    </row>
    <row r="6" spans="1:25" ht="15.75" customHeight="1">
      <c r="A6" s="7" t="s">
        <v>26</v>
      </c>
      <c r="B6" s="11">
        <v>1</v>
      </c>
      <c r="C6" s="12">
        <v>10</v>
      </c>
      <c r="D6" s="16" t="s">
        <v>28</v>
      </c>
      <c r="E6" s="15" t="s">
        <v>29</v>
      </c>
      <c r="F6" s="16"/>
      <c r="G6" s="7"/>
      <c r="H6" s="7"/>
      <c r="I6" s="7"/>
      <c r="J6" s="7"/>
      <c r="K6" s="7"/>
    </row>
    <row r="7" spans="1:25" ht="15.75" customHeight="1">
      <c r="A7" s="7" t="s">
        <v>37</v>
      </c>
      <c r="B7" s="11">
        <v>1</v>
      </c>
      <c r="C7" s="12">
        <v>20</v>
      </c>
      <c r="D7" s="7" t="s">
        <v>38</v>
      </c>
      <c r="E7" s="15" t="s">
        <v>39</v>
      </c>
      <c r="F7" s="19"/>
      <c r="G7" s="7"/>
      <c r="H7" s="7"/>
      <c r="I7" s="7"/>
      <c r="J7" s="7"/>
      <c r="K7" s="7"/>
    </row>
    <row r="8" spans="1:25" ht="15.75" customHeight="1">
      <c r="A8" s="23" t="s">
        <v>45</v>
      </c>
      <c r="B8" s="23"/>
      <c r="C8" s="23"/>
      <c r="D8" s="23"/>
      <c r="E8" s="23"/>
      <c r="F8" s="7"/>
      <c r="G8" s="7"/>
      <c r="H8" s="7"/>
      <c r="I8" s="7"/>
      <c r="J8" s="7"/>
      <c r="K8" s="7"/>
    </row>
    <row r="9" spans="1:25" ht="15.75" customHeight="1">
      <c r="A9" s="7" t="s">
        <v>46</v>
      </c>
      <c r="B9" s="11">
        <v>1</v>
      </c>
      <c r="C9" s="12">
        <v>22.86</v>
      </c>
      <c r="D9" s="7"/>
      <c r="E9" s="15" t="s">
        <v>47</v>
      </c>
      <c r="F9" s="7"/>
      <c r="G9" s="7"/>
      <c r="H9" s="7"/>
      <c r="I9" s="7"/>
      <c r="J9" s="7"/>
      <c r="K9" s="7"/>
    </row>
    <row r="10" spans="1:25" ht="15.75" customHeight="1">
      <c r="A10" s="7" t="s">
        <v>50</v>
      </c>
      <c r="B10" s="11">
        <v>1</v>
      </c>
      <c r="C10" s="12">
        <v>8.66</v>
      </c>
      <c r="D10" s="7" t="s">
        <v>51</v>
      </c>
      <c r="E10" s="27" t="s">
        <v>52</v>
      </c>
      <c r="F10" s="7"/>
      <c r="G10" s="7"/>
      <c r="H10" s="7"/>
      <c r="I10" s="7"/>
      <c r="J10" s="7"/>
      <c r="K10" s="7"/>
    </row>
    <row r="11" spans="1:25" ht="15.75" customHeight="1">
      <c r="A11" s="7" t="s">
        <v>59</v>
      </c>
      <c r="B11" s="11">
        <v>2</v>
      </c>
      <c r="C11" s="12">
        <v>3.68</v>
      </c>
      <c r="D11" s="7"/>
      <c r="E11" s="27" t="s">
        <v>60</v>
      </c>
      <c r="F11" s="7"/>
      <c r="G11" s="7"/>
      <c r="H11" s="7"/>
      <c r="I11" s="7"/>
      <c r="J11" s="7"/>
      <c r="K11" s="7"/>
    </row>
    <row r="12" spans="1:25" ht="15.75" customHeight="1">
      <c r="A12" s="7" t="s">
        <v>65</v>
      </c>
      <c r="B12" s="11">
        <v>4</v>
      </c>
      <c r="C12" s="12">
        <v>10.76</v>
      </c>
      <c r="D12" s="7"/>
      <c r="E12" s="27" t="s">
        <v>68</v>
      </c>
      <c r="F12" s="7"/>
      <c r="G12" s="7"/>
      <c r="H12" s="7"/>
      <c r="I12" s="7"/>
      <c r="J12" s="7"/>
      <c r="K12" s="7"/>
    </row>
    <row r="13" spans="1:25" ht="15.75" customHeight="1">
      <c r="A13" s="7" t="s">
        <v>72</v>
      </c>
      <c r="B13" s="11">
        <v>6</v>
      </c>
      <c r="C13" s="12">
        <v>27.9</v>
      </c>
      <c r="D13" s="7"/>
      <c r="E13" s="27" t="s">
        <v>74</v>
      </c>
      <c r="F13" s="7"/>
      <c r="G13" s="7"/>
      <c r="H13" s="7"/>
      <c r="I13" s="7"/>
      <c r="J13" s="7"/>
      <c r="K13" s="7"/>
    </row>
    <row r="14" spans="1:25" ht="15.75" customHeight="1">
      <c r="A14" s="7" t="s">
        <v>79</v>
      </c>
      <c r="B14" s="11">
        <v>4</v>
      </c>
      <c r="C14" s="12">
        <v>5.3</v>
      </c>
      <c r="D14" s="7" t="s">
        <v>81</v>
      </c>
      <c r="E14" s="15" t="s">
        <v>82</v>
      </c>
      <c r="F14" s="7"/>
      <c r="G14" s="7"/>
      <c r="H14" s="7"/>
      <c r="I14" s="7"/>
      <c r="J14" s="7"/>
      <c r="K14" s="7"/>
    </row>
    <row r="15" spans="1:25" ht="15.75" customHeight="1">
      <c r="A15" s="7" t="s">
        <v>84</v>
      </c>
      <c r="B15" s="11">
        <v>4</v>
      </c>
      <c r="C15" s="12">
        <v>2.16</v>
      </c>
      <c r="D15" s="7"/>
      <c r="E15" s="15" t="s">
        <v>85</v>
      </c>
      <c r="F15" s="7"/>
      <c r="G15" s="7"/>
      <c r="H15" s="7"/>
      <c r="I15" s="7"/>
      <c r="J15" s="7"/>
      <c r="K15" s="7"/>
    </row>
    <row r="16" spans="1:25" ht="15.75" customHeight="1">
      <c r="A16" s="34" t="s">
        <v>91</v>
      </c>
      <c r="B16" s="34"/>
      <c r="C16" s="34"/>
      <c r="D16" s="34"/>
      <c r="E16" s="34"/>
      <c r="F16" s="35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</row>
    <row r="17" spans="1:26" ht="15.75" customHeight="1">
      <c r="A17" s="7" t="s">
        <v>97</v>
      </c>
      <c r="B17" s="11">
        <v>1</v>
      </c>
      <c r="C17" s="12">
        <v>249</v>
      </c>
      <c r="D17" s="38"/>
      <c r="E17" s="40" t="s">
        <v>98</v>
      </c>
      <c r="F17" s="35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</row>
    <row r="18" spans="1:26" ht="15.75" customHeight="1">
      <c r="A18" s="7" t="s">
        <v>103</v>
      </c>
      <c r="B18" s="11">
        <v>1</v>
      </c>
      <c r="C18" s="12">
        <v>100</v>
      </c>
      <c r="D18" s="42"/>
      <c r="E18" s="40" t="s">
        <v>104</v>
      </c>
      <c r="F18" s="35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spans="1:26" ht="15.75" customHeight="1">
      <c r="A19" s="34" t="s">
        <v>110</v>
      </c>
      <c r="B19" s="34"/>
      <c r="C19" s="43"/>
      <c r="D19" s="34"/>
      <c r="E19" s="34"/>
      <c r="F19" s="35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spans="1:26" ht="15.75" customHeight="1">
      <c r="A20" s="7" t="s">
        <v>114</v>
      </c>
      <c r="B20" s="11">
        <v>1</v>
      </c>
      <c r="C20" s="12">
        <v>1200</v>
      </c>
      <c r="D20" s="48" t="s">
        <v>115</v>
      </c>
      <c r="E20" s="49" t="s">
        <v>134</v>
      </c>
      <c r="F20" s="35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spans="1:26" ht="15.75" customHeight="1">
      <c r="A21" s="34" t="s">
        <v>137</v>
      </c>
      <c r="B21" s="34"/>
      <c r="C21" s="43"/>
      <c r="D21" s="34"/>
      <c r="E21" s="34"/>
      <c r="F21" s="35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spans="1:26" ht="15.75" customHeight="1">
      <c r="A22" s="7" t="s">
        <v>142</v>
      </c>
      <c r="B22" s="11">
        <v>1</v>
      </c>
      <c r="C22" s="12">
        <v>125</v>
      </c>
      <c r="D22" s="37"/>
      <c r="E22" s="40" t="s">
        <v>143</v>
      </c>
      <c r="F22" s="50"/>
      <c r="G22" s="50"/>
      <c r="H22" s="50"/>
      <c r="I22" s="50"/>
      <c r="J22" s="50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spans="1:26" ht="15.75" customHeight="1">
      <c r="A23" s="7" t="s">
        <v>144</v>
      </c>
      <c r="B23" s="11">
        <v>1</v>
      </c>
      <c r="C23" s="12">
        <v>249.75</v>
      </c>
      <c r="D23" s="37"/>
      <c r="E23" s="111" t="s">
        <v>145</v>
      </c>
      <c r="F23" s="112"/>
      <c r="G23" s="112"/>
      <c r="H23" s="112"/>
      <c r="I23" s="112"/>
      <c r="J23" s="112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spans="1:26" ht="15.75" customHeight="1">
      <c r="A24" s="7" t="s">
        <v>146</v>
      </c>
      <c r="B24" s="11">
        <v>1</v>
      </c>
      <c r="C24" s="12">
        <v>29.99</v>
      </c>
      <c r="D24" s="51" t="s">
        <v>147</v>
      </c>
      <c r="E24" s="40" t="s">
        <v>148</v>
      </c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spans="1:26" ht="15.75" customHeight="1">
      <c r="A25" s="52" t="s">
        <v>149</v>
      </c>
      <c r="B25" s="11">
        <v>1</v>
      </c>
      <c r="C25" s="12">
        <v>6.99</v>
      </c>
      <c r="D25" s="53"/>
      <c r="E25" s="113" t="s">
        <v>150</v>
      </c>
      <c r="F25" s="112"/>
      <c r="G25" s="112"/>
      <c r="H25" s="112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spans="1:26" ht="15.75" customHeight="1">
      <c r="A26" s="52" t="s">
        <v>151</v>
      </c>
      <c r="B26" s="11">
        <v>1</v>
      </c>
      <c r="C26" s="12">
        <v>9.99</v>
      </c>
      <c r="D26" s="55" t="s">
        <v>152</v>
      </c>
      <c r="E26" s="56" t="s">
        <v>153</v>
      </c>
      <c r="F26" s="57"/>
      <c r="G26" s="57"/>
      <c r="H26" s="5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spans="1:26" ht="15.75" customHeight="1">
      <c r="A27" s="52" t="s">
        <v>154</v>
      </c>
      <c r="B27" s="11">
        <v>1</v>
      </c>
      <c r="C27" s="12">
        <v>8.99</v>
      </c>
      <c r="D27" s="55" t="s">
        <v>152</v>
      </c>
      <c r="E27" s="56" t="s">
        <v>155</v>
      </c>
      <c r="F27" s="57"/>
      <c r="G27" s="57"/>
      <c r="H27" s="5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spans="1:26" ht="15.75" customHeight="1">
      <c r="A28" s="52" t="s">
        <v>156</v>
      </c>
      <c r="B28" s="11">
        <v>1</v>
      </c>
      <c r="C28" s="12">
        <v>7.99</v>
      </c>
      <c r="D28" s="58"/>
      <c r="E28" s="57" t="s">
        <v>157</v>
      </c>
      <c r="F28" s="57"/>
      <c r="G28" s="57"/>
      <c r="H28" s="5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spans="1:26" ht="15.75" customHeight="1">
      <c r="A29" s="7" t="s">
        <v>158</v>
      </c>
      <c r="B29" s="11">
        <v>1</v>
      </c>
      <c r="C29" s="12">
        <v>334</v>
      </c>
      <c r="D29" s="37"/>
      <c r="E29" s="54" t="s">
        <v>159</v>
      </c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spans="1:26" ht="15.75" customHeight="1">
      <c r="A30" s="9" t="s">
        <v>160</v>
      </c>
      <c r="B30" s="9"/>
      <c r="C30" s="59"/>
      <c r="D30" s="9"/>
      <c r="E30" s="9"/>
      <c r="F30" s="35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spans="1:26" ht="15.75" customHeight="1">
      <c r="A31" s="7" t="s">
        <v>161</v>
      </c>
      <c r="B31" s="11">
        <v>1</v>
      </c>
      <c r="C31" s="12">
        <v>8.99</v>
      </c>
      <c r="D31" s="7" t="s">
        <v>162</v>
      </c>
      <c r="E31" s="60" t="s">
        <v>163</v>
      </c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spans="1:26" ht="15.75" customHeight="1">
      <c r="A32" s="7" t="s">
        <v>164</v>
      </c>
      <c r="B32" s="11">
        <v>1</v>
      </c>
      <c r="C32" s="12">
        <v>3.38</v>
      </c>
      <c r="D32" s="51" t="s">
        <v>165</v>
      </c>
      <c r="E32" s="40" t="s">
        <v>166</v>
      </c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spans="1:26" ht="15.75" customHeight="1">
      <c r="A33" s="7" t="s">
        <v>167</v>
      </c>
      <c r="B33" s="11">
        <v>1</v>
      </c>
      <c r="C33" s="12">
        <v>6.99</v>
      </c>
      <c r="D33" s="35"/>
      <c r="E33" s="114" t="s">
        <v>168</v>
      </c>
      <c r="F33" s="112"/>
      <c r="G33" s="112"/>
      <c r="H33" s="112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spans="1:26" ht="15.75" customHeight="1">
      <c r="A34" s="7" t="s">
        <v>169</v>
      </c>
      <c r="B34" s="11">
        <v>1</v>
      </c>
      <c r="C34" s="12">
        <v>7.99</v>
      </c>
      <c r="D34" s="7" t="s">
        <v>170</v>
      </c>
      <c r="E34" s="114" t="s">
        <v>171</v>
      </c>
      <c r="F34" s="112"/>
      <c r="G34" s="112"/>
      <c r="H34" s="112"/>
      <c r="I34" s="112"/>
      <c r="J34" s="112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spans="1:26" ht="15.75" customHeight="1">
      <c r="A35" s="7" t="s">
        <v>172</v>
      </c>
      <c r="B35" s="11">
        <v>1</v>
      </c>
      <c r="C35" s="12">
        <v>7.99</v>
      </c>
      <c r="D35" s="35"/>
      <c r="E35" s="61" t="s">
        <v>173</v>
      </c>
      <c r="F35" s="115" t="s">
        <v>174</v>
      </c>
      <c r="G35" s="112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spans="1:26" ht="15.75" customHeight="1">
      <c r="A36" s="62"/>
      <c r="B36" s="63" t="s">
        <v>175</v>
      </c>
      <c r="C36" s="64">
        <f>SUM(C3:C35)</f>
        <v>3022.2899999999981</v>
      </c>
      <c r="D36" s="7" t="s">
        <v>176</v>
      </c>
      <c r="E36" s="13"/>
      <c r="F36" s="7"/>
      <c r="G36" s="7"/>
      <c r="H36" s="7"/>
      <c r="I36" s="7"/>
      <c r="J36" s="7"/>
      <c r="K36" s="7"/>
    </row>
    <row r="37" spans="1:26" ht="15.75" customHeight="1">
      <c r="A37" s="65"/>
      <c r="B37" s="11"/>
      <c r="C37" s="11"/>
      <c r="D37" s="7"/>
      <c r="E37" s="13"/>
      <c r="F37" s="7"/>
      <c r="G37" s="7"/>
      <c r="H37" s="7"/>
      <c r="I37" s="7"/>
      <c r="J37" s="7"/>
      <c r="K37" s="7"/>
    </row>
    <row r="38" spans="1:26" ht="15.75" customHeight="1">
      <c r="A38" s="62" t="s">
        <v>177</v>
      </c>
      <c r="B38" s="11"/>
      <c r="C38" s="11"/>
      <c r="D38" s="7"/>
      <c r="E38" s="66"/>
      <c r="F38" s="7"/>
      <c r="G38" s="7"/>
      <c r="H38" s="7"/>
      <c r="I38" s="7"/>
      <c r="J38" s="7"/>
      <c r="K38" s="7"/>
    </row>
    <row r="39" spans="1:26" ht="15.75" customHeight="1">
      <c r="A39" s="7"/>
      <c r="B39" s="11"/>
      <c r="C39" s="11"/>
      <c r="D39" s="7"/>
      <c r="E39" s="13"/>
      <c r="F39" s="7"/>
      <c r="G39" s="7"/>
      <c r="H39" s="7"/>
      <c r="I39" s="7"/>
      <c r="J39" s="7"/>
      <c r="K39" s="7"/>
    </row>
    <row r="40" spans="1:26" ht="15.75" customHeight="1"/>
    <row r="41" spans="1:26" ht="15.75" customHeight="1"/>
    <row r="42" spans="1:26" ht="15.75" customHeight="1"/>
    <row r="43" spans="1:26" ht="15.75" customHeight="1"/>
    <row r="44" spans="1:26" ht="15.75" customHeight="1"/>
    <row r="45" spans="1:26" ht="15.75" customHeight="1"/>
    <row r="46" spans="1:26" ht="15.75" customHeight="1"/>
    <row r="47" spans="1:26" ht="15.75" customHeight="1"/>
    <row r="48" spans="1:26" ht="15.75" customHeight="1"/>
    <row r="49" spans="1:11" ht="15.75" customHeight="1"/>
    <row r="50" spans="1:11" ht="15.75" customHeight="1"/>
    <row r="51" spans="1:11" ht="15.75" customHeight="1"/>
    <row r="52" spans="1:11" ht="15.75" customHeight="1"/>
    <row r="53" spans="1:11" ht="15.75" customHeight="1"/>
    <row r="54" spans="1:11" ht="15.75" customHeight="1"/>
    <row r="55" spans="1:11" ht="15.75" customHeight="1"/>
    <row r="56" spans="1:11" ht="15.75" customHeight="1"/>
    <row r="57" spans="1:11" ht="15.75" customHeight="1"/>
    <row r="58" spans="1:11" ht="15.75" customHeight="1"/>
    <row r="59" spans="1:11" ht="15.75" customHeight="1"/>
    <row r="60" spans="1:11" ht="15.75" customHeight="1"/>
    <row r="61" spans="1:11" ht="15.75" customHeight="1"/>
    <row r="62" spans="1:11" ht="15.75" customHeight="1"/>
    <row r="63" spans="1:11" ht="15.75" customHeight="1"/>
    <row r="64" spans="1:11" ht="15.75" customHeight="1">
      <c r="A64" s="7"/>
      <c r="B64" s="11"/>
      <c r="C64" s="11"/>
      <c r="D64" s="7"/>
      <c r="E64" s="13"/>
      <c r="F64" s="7"/>
      <c r="G64" s="7"/>
      <c r="H64" s="7"/>
      <c r="I64" s="7"/>
      <c r="J64" s="7"/>
      <c r="K64" s="7"/>
    </row>
    <row r="65" spans="1:11" ht="15.75" customHeight="1">
      <c r="A65" s="7"/>
      <c r="B65" s="11"/>
      <c r="C65" s="11"/>
      <c r="D65" s="7"/>
      <c r="E65" s="13"/>
      <c r="F65" s="7"/>
      <c r="G65" s="7"/>
      <c r="H65" s="7"/>
      <c r="I65" s="7"/>
      <c r="J65" s="7"/>
      <c r="K65" s="7"/>
    </row>
    <row r="66" spans="1:11" ht="15.75" customHeight="1">
      <c r="A66" s="7"/>
      <c r="B66" s="11"/>
      <c r="C66" s="11"/>
      <c r="D66" s="7"/>
      <c r="E66" s="13"/>
      <c r="F66" s="7"/>
      <c r="G66" s="7"/>
      <c r="H66" s="7"/>
      <c r="I66" s="7"/>
      <c r="J66" s="7"/>
      <c r="K66" s="7"/>
    </row>
    <row r="67" spans="1:11" ht="15.75" customHeight="1">
      <c r="A67" s="7"/>
      <c r="B67" s="11"/>
      <c r="C67" s="11"/>
      <c r="D67" s="7"/>
      <c r="E67" s="13"/>
      <c r="F67" s="7"/>
      <c r="G67" s="7"/>
      <c r="H67" s="7"/>
      <c r="I67" s="7"/>
      <c r="J67" s="7"/>
      <c r="K67" s="7"/>
    </row>
    <row r="68" spans="1:11" ht="15.75" customHeight="1">
      <c r="A68" s="7"/>
      <c r="B68" s="11"/>
      <c r="C68" s="11"/>
      <c r="D68" s="7"/>
      <c r="E68" s="13"/>
      <c r="F68" s="7"/>
      <c r="G68" s="7"/>
      <c r="H68" s="7"/>
      <c r="I68" s="7"/>
      <c r="J68" s="7"/>
      <c r="K68" s="7"/>
    </row>
    <row r="69" spans="1:11" ht="15.75" customHeight="1">
      <c r="A69" s="7"/>
      <c r="B69" s="11"/>
      <c r="C69" s="11"/>
      <c r="D69" s="7"/>
      <c r="E69" s="13"/>
      <c r="F69" s="7"/>
      <c r="G69" s="7"/>
      <c r="H69" s="7"/>
      <c r="I69" s="7"/>
      <c r="J69" s="7"/>
      <c r="K69" s="7"/>
    </row>
    <row r="70" spans="1:11" ht="15.75" customHeight="1">
      <c r="A70" s="7"/>
      <c r="B70" s="11"/>
      <c r="C70" s="11"/>
      <c r="D70" s="7"/>
      <c r="E70" s="13"/>
      <c r="F70" s="7"/>
      <c r="G70" s="7"/>
      <c r="H70" s="7"/>
      <c r="I70" s="7"/>
      <c r="J70" s="7"/>
      <c r="K70" s="7"/>
    </row>
    <row r="71" spans="1:11" ht="15.75" customHeight="1">
      <c r="A71" s="7"/>
      <c r="B71" s="11"/>
      <c r="C71" s="11"/>
      <c r="D71" s="7"/>
      <c r="E71" s="13"/>
      <c r="F71" s="7"/>
      <c r="G71" s="7"/>
      <c r="H71" s="7"/>
      <c r="I71" s="7"/>
      <c r="J71" s="7"/>
      <c r="K71" s="7"/>
    </row>
    <row r="72" spans="1:11" ht="15.75" customHeight="1">
      <c r="A72" s="7"/>
      <c r="B72" s="11"/>
      <c r="C72" s="11"/>
      <c r="D72" s="7"/>
      <c r="E72" s="13"/>
      <c r="F72" s="7"/>
      <c r="G72" s="7"/>
      <c r="H72" s="7"/>
      <c r="I72" s="7"/>
      <c r="J72" s="7"/>
      <c r="K72" s="7"/>
    </row>
    <row r="73" spans="1:11" ht="15.75" customHeight="1">
      <c r="A73" s="7"/>
      <c r="B73" s="11"/>
      <c r="C73" s="11"/>
      <c r="D73" s="7"/>
      <c r="E73" s="13"/>
      <c r="F73" s="7"/>
      <c r="G73" s="7"/>
      <c r="H73" s="7"/>
      <c r="I73" s="7"/>
      <c r="J73" s="7"/>
      <c r="K73" s="7"/>
    </row>
    <row r="74" spans="1:11" ht="15.75" customHeight="1">
      <c r="A74" s="7"/>
      <c r="B74" s="11"/>
      <c r="C74" s="11"/>
      <c r="D74" s="7"/>
      <c r="E74" s="13"/>
      <c r="F74" s="7"/>
      <c r="G74" s="7"/>
      <c r="H74" s="7"/>
      <c r="I74" s="7"/>
      <c r="J74" s="7"/>
      <c r="K74" s="7"/>
    </row>
    <row r="75" spans="1:11" ht="15.75" customHeight="1">
      <c r="A75" s="7"/>
      <c r="B75" s="11"/>
      <c r="C75" s="11"/>
      <c r="D75" s="7"/>
      <c r="E75" s="13"/>
      <c r="F75" s="7"/>
      <c r="G75" s="7"/>
      <c r="H75" s="7"/>
      <c r="I75" s="7"/>
      <c r="J75" s="7"/>
      <c r="K75" s="7"/>
    </row>
    <row r="76" spans="1:11" ht="15.75" customHeight="1">
      <c r="A76" s="7"/>
      <c r="B76" s="11"/>
      <c r="C76" s="11"/>
      <c r="D76" s="7"/>
      <c r="E76" s="13"/>
      <c r="F76" s="7"/>
      <c r="G76" s="7"/>
      <c r="H76" s="7"/>
      <c r="I76" s="7"/>
      <c r="J76" s="7"/>
      <c r="K76" s="7"/>
    </row>
    <row r="77" spans="1:11" ht="15.75" customHeight="1">
      <c r="A77" s="7"/>
      <c r="B77" s="11"/>
      <c r="C77" s="11"/>
      <c r="D77" s="7"/>
      <c r="E77" s="13"/>
      <c r="F77" s="7"/>
      <c r="G77" s="7"/>
      <c r="H77" s="7"/>
      <c r="I77" s="7"/>
      <c r="J77" s="7"/>
      <c r="K77" s="7"/>
    </row>
    <row r="78" spans="1:11" ht="15.75" customHeight="1">
      <c r="A78" s="7"/>
      <c r="B78" s="11"/>
      <c r="C78" s="11"/>
      <c r="D78" s="7"/>
      <c r="E78" s="13"/>
      <c r="F78" s="7"/>
      <c r="G78" s="7"/>
      <c r="H78" s="7"/>
      <c r="I78" s="7"/>
      <c r="J78" s="7"/>
      <c r="K78" s="7"/>
    </row>
    <row r="79" spans="1:11" ht="15.75" customHeight="1">
      <c r="A79" s="7"/>
      <c r="B79" s="11"/>
      <c r="C79" s="11"/>
      <c r="D79" s="7"/>
      <c r="E79" s="13"/>
      <c r="F79" s="7"/>
      <c r="G79" s="7"/>
      <c r="H79" s="7"/>
      <c r="I79" s="7"/>
      <c r="J79" s="7"/>
      <c r="K79" s="7"/>
    </row>
    <row r="80" spans="1:11" ht="15.75" customHeight="1">
      <c r="A80" s="7"/>
      <c r="B80" s="11"/>
      <c r="C80" s="11"/>
      <c r="D80" s="7"/>
      <c r="E80" s="13"/>
      <c r="F80" s="7"/>
      <c r="G80" s="7"/>
      <c r="H80" s="7"/>
      <c r="I80" s="7"/>
      <c r="J80" s="7"/>
      <c r="K80" s="7"/>
    </row>
    <row r="81" spans="1:11" ht="15.75" customHeight="1">
      <c r="A81" s="7"/>
      <c r="B81" s="11"/>
      <c r="C81" s="11"/>
      <c r="D81" s="7"/>
      <c r="E81" s="13"/>
      <c r="F81" s="7"/>
      <c r="G81" s="7"/>
      <c r="H81" s="7"/>
      <c r="I81" s="7"/>
      <c r="J81" s="7"/>
      <c r="K81" s="7"/>
    </row>
    <row r="82" spans="1:11" ht="15.75" customHeight="1">
      <c r="A82" s="7"/>
      <c r="B82" s="11"/>
      <c r="C82" s="11"/>
      <c r="D82" s="7"/>
      <c r="E82" s="13"/>
      <c r="F82" s="7"/>
      <c r="G82" s="7"/>
      <c r="H82" s="7"/>
      <c r="I82" s="7"/>
      <c r="J82" s="7"/>
      <c r="K82" s="7"/>
    </row>
    <row r="83" spans="1:11" ht="15.75" customHeight="1">
      <c r="A83" s="7"/>
      <c r="B83" s="11"/>
      <c r="C83" s="11"/>
      <c r="D83" s="7"/>
      <c r="E83" s="67"/>
      <c r="F83" s="7"/>
      <c r="G83" s="7"/>
      <c r="H83" s="7"/>
      <c r="I83" s="7"/>
      <c r="J83" s="7"/>
      <c r="K83" s="7"/>
    </row>
    <row r="84" spans="1:11" ht="15.75" customHeight="1">
      <c r="A84" s="7"/>
      <c r="B84" s="11"/>
      <c r="C84" s="11"/>
      <c r="D84" s="7"/>
      <c r="E84" s="67"/>
      <c r="F84" s="7"/>
      <c r="G84" s="7"/>
      <c r="H84" s="7"/>
      <c r="I84" s="7"/>
      <c r="J84" s="7"/>
      <c r="K84" s="7"/>
    </row>
    <row r="85" spans="1:11" ht="15.75" customHeight="1">
      <c r="A85" s="7"/>
      <c r="B85" s="11"/>
      <c r="C85" s="11"/>
      <c r="D85" s="7"/>
      <c r="E85" s="67"/>
      <c r="F85" s="7"/>
      <c r="G85" s="7"/>
      <c r="H85" s="7"/>
      <c r="I85" s="7"/>
      <c r="J85" s="7"/>
      <c r="K85" s="7"/>
    </row>
    <row r="86" spans="1:11" ht="15.75" customHeight="1">
      <c r="A86" s="7"/>
      <c r="B86" s="11"/>
      <c r="C86" s="11"/>
      <c r="D86" s="7"/>
      <c r="E86" s="67"/>
      <c r="F86" s="7"/>
      <c r="G86" s="7"/>
      <c r="H86" s="7"/>
      <c r="I86" s="7"/>
      <c r="J86" s="7"/>
      <c r="K86" s="7"/>
    </row>
    <row r="87" spans="1:11" ht="15.75" customHeight="1">
      <c r="A87" s="7"/>
      <c r="B87" s="11"/>
      <c r="C87" s="11"/>
      <c r="D87" s="7"/>
      <c r="E87" s="67"/>
      <c r="F87" s="7"/>
      <c r="G87" s="7"/>
      <c r="H87" s="7"/>
      <c r="I87" s="7"/>
      <c r="J87" s="7"/>
      <c r="K87" s="7"/>
    </row>
    <row r="88" spans="1:11" ht="15.75" customHeight="1">
      <c r="A88" s="7"/>
      <c r="B88" s="11"/>
      <c r="C88" s="11"/>
      <c r="D88" s="7"/>
      <c r="E88" s="67"/>
      <c r="F88" s="7"/>
      <c r="G88" s="7"/>
      <c r="H88" s="7"/>
      <c r="I88" s="7"/>
      <c r="J88" s="7"/>
      <c r="K88" s="7"/>
    </row>
    <row r="89" spans="1:11" ht="15.75" customHeight="1">
      <c r="A89" s="7"/>
      <c r="B89" s="11"/>
      <c r="C89" s="11"/>
      <c r="D89" s="7"/>
      <c r="E89" s="67"/>
      <c r="F89" s="7"/>
      <c r="G89" s="7"/>
      <c r="H89" s="7"/>
      <c r="I89" s="7"/>
      <c r="J89" s="7"/>
      <c r="K89" s="7"/>
    </row>
    <row r="90" spans="1:11" ht="15.75" customHeight="1">
      <c r="A90" s="7"/>
      <c r="B90" s="11"/>
      <c r="C90" s="11"/>
      <c r="D90" s="7"/>
      <c r="E90" s="67"/>
      <c r="F90" s="7"/>
      <c r="G90" s="7"/>
      <c r="H90" s="7"/>
      <c r="I90" s="7"/>
      <c r="J90" s="7"/>
      <c r="K90" s="7"/>
    </row>
    <row r="91" spans="1:11" ht="15.75" customHeight="1">
      <c r="A91" s="7"/>
      <c r="B91" s="11"/>
      <c r="C91" s="11"/>
      <c r="D91" s="7"/>
      <c r="E91" s="67"/>
      <c r="F91" s="7"/>
      <c r="G91" s="7"/>
      <c r="H91" s="7"/>
      <c r="I91" s="7"/>
      <c r="J91" s="7"/>
      <c r="K91" s="7"/>
    </row>
    <row r="92" spans="1:11" ht="15.75" customHeight="1">
      <c r="A92" s="7"/>
      <c r="B92" s="11"/>
      <c r="C92" s="11"/>
      <c r="D92" s="7"/>
      <c r="E92" s="67"/>
      <c r="F92" s="7"/>
      <c r="G92" s="7"/>
      <c r="H92" s="7"/>
      <c r="I92" s="7"/>
      <c r="J92" s="7"/>
      <c r="K92" s="7"/>
    </row>
    <row r="93" spans="1:11" ht="15.75" customHeight="1">
      <c r="A93" s="7"/>
      <c r="B93" s="11"/>
      <c r="C93" s="11"/>
      <c r="D93" s="7"/>
      <c r="E93" s="67"/>
      <c r="F93" s="7"/>
      <c r="G93" s="7"/>
      <c r="H93" s="7"/>
      <c r="I93" s="7"/>
      <c r="J93" s="7"/>
      <c r="K93" s="7"/>
    </row>
    <row r="94" spans="1:11" ht="15.75" customHeight="1">
      <c r="A94" s="7"/>
      <c r="B94" s="11"/>
      <c r="C94" s="11"/>
      <c r="D94" s="7"/>
      <c r="E94" s="67"/>
      <c r="F94" s="7"/>
      <c r="G94" s="7"/>
      <c r="H94" s="7"/>
      <c r="I94" s="7"/>
      <c r="J94" s="7"/>
      <c r="K94" s="7"/>
    </row>
    <row r="95" spans="1:11" ht="15.75" customHeight="1">
      <c r="A95" s="7"/>
      <c r="B95" s="11"/>
      <c r="C95" s="11"/>
      <c r="D95" s="7"/>
      <c r="E95" s="67"/>
      <c r="F95" s="7"/>
      <c r="G95" s="7"/>
      <c r="H95" s="7"/>
      <c r="I95" s="7"/>
      <c r="J95" s="7"/>
      <c r="K95" s="7"/>
    </row>
    <row r="96" spans="1:11" ht="15.75" customHeight="1">
      <c r="A96" s="7"/>
      <c r="B96" s="11"/>
      <c r="C96" s="11"/>
      <c r="D96" s="7"/>
      <c r="E96" s="67"/>
      <c r="F96" s="7"/>
      <c r="G96" s="7"/>
      <c r="H96" s="7"/>
      <c r="I96" s="7"/>
      <c r="J96" s="7"/>
      <c r="K96" s="7"/>
    </row>
    <row r="97" spans="1:11" ht="15.75" customHeight="1">
      <c r="A97" s="7"/>
      <c r="B97" s="11"/>
      <c r="C97" s="11"/>
      <c r="D97" s="7"/>
      <c r="E97" s="67"/>
      <c r="F97" s="7"/>
      <c r="G97" s="7"/>
      <c r="H97" s="7"/>
      <c r="I97" s="7"/>
      <c r="J97" s="7"/>
      <c r="K97" s="7"/>
    </row>
    <row r="98" spans="1:11" ht="15.75" customHeight="1">
      <c r="A98" s="7"/>
      <c r="B98" s="11"/>
      <c r="C98" s="11"/>
      <c r="D98" s="7"/>
      <c r="E98" s="67"/>
      <c r="F98" s="7"/>
      <c r="G98" s="7"/>
      <c r="H98" s="7"/>
      <c r="I98" s="7"/>
      <c r="J98" s="7"/>
      <c r="K98" s="7"/>
    </row>
    <row r="99" spans="1:11" ht="15.75" customHeight="1">
      <c r="A99" s="7"/>
      <c r="B99" s="11"/>
      <c r="C99" s="11"/>
      <c r="D99" s="7"/>
      <c r="E99" s="67"/>
      <c r="F99" s="7"/>
      <c r="G99" s="7"/>
      <c r="H99" s="7"/>
      <c r="I99" s="7"/>
      <c r="J99" s="7"/>
      <c r="K99" s="7"/>
    </row>
    <row r="100" spans="1:11" ht="15.75" customHeight="1">
      <c r="A100" s="7"/>
      <c r="B100" s="11"/>
      <c r="C100" s="11"/>
      <c r="D100" s="7"/>
      <c r="E100" s="67"/>
      <c r="F100" s="7"/>
      <c r="G100" s="7"/>
      <c r="H100" s="7"/>
      <c r="I100" s="7"/>
      <c r="J100" s="7"/>
      <c r="K100" s="7"/>
    </row>
    <row r="101" spans="1:11" ht="15.75" customHeight="1">
      <c r="A101" s="7"/>
      <c r="B101" s="11"/>
      <c r="C101" s="11"/>
      <c r="D101" s="7"/>
      <c r="E101" s="67"/>
      <c r="F101" s="7"/>
      <c r="G101" s="7"/>
      <c r="H101" s="7"/>
      <c r="I101" s="7"/>
      <c r="J101" s="7"/>
      <c r="K101" s="7"/>
    </row>
    <row r="102" spans="1:11" ht="15.75" customHeight="1">
      <c r="A102" s="7"/>
      <c r="B102" s="11"/>
      <c r="C102" s="11"/>
      <c r="D102" s="7"/>
      <c r="E102" s="67"/>
      <c r="F102" s="7"/>
      <c r="G102" s="7"/>
      <c r="H102" s="7"/>
      <c r="I102" s="7"/>
      <c r="J102" s="7"/>
      <c r="K102" s="7"/>
    </row>
    <row r="103" spans="1:11" ht="15.75" customHeight="1">
      <c r="A103" s="7"/>
      <c r="B103" s="11"/>
      <c r="C103" s="11"/>
      <c r="D103" s="7"/>
      <c r="E103" s="67"/>
      <c r="F103" s="7"/>
      <c r="G103" s="7"/>
      <c r="H103" s="7"/>
      <c r="I103" s="7"/>
      <c r="J103" s="7"/>
      <c r="K103" s="7"/>
    </row>
    <row r="104" spans="1:11" ht="15.75" customHeight="1">
      <c r="A104" s="7"/>
      <c r="B104" s="11"/>
      <c r="C104" s="11"/>
      <c r="D104" s="7"/>
      <c r="E104" s="67"/>
      <c r="F104" s="7"/>
      <c r="G104" s="7"/>
      <c r="H104" s="7"/>
      <c r="I104" s="7"/>
      <c r="J104" s="7"/>
      <c r="K104" s="7"/>
    </row>
    <row r="105" spans="1:11" ht="15.75" customHeight="1">
      <c r="A105" s="7"/>
      <c r="B105" s="11"/>
      <c r="C105" s="11"/>
      <c r="D105" s="7"/>
      <c r="E105" s="67"/>
      <c r="F105" s="7"/>
      <c r="G105" s="7"/>
      <c r="H105" s="7"/>
      <c r="I105" s="7"/>
      <c r="J105" s="7"/>
      <c r="K105" s="7"/>
    </row>
    <row r="106" spans="1:11" ht="15.75" customHeight="1">
      <c r="A106" s="7"/>
      <c r="B106" s="11"/>
      <c r="C106" s="11"/>
      <c r="D106" s="7"/>
      <c r="E106" s="67"/>
      <c r="F106" s="7"/>
      <c r="G106" s="7"/>
      <c r="H106" s="7"/>
      <c r="I106" s="7"/>
      <c r="J106" s="7"/>
      <c r="K106" s="7"/>
    </row>
    <row r="107" spans="1:11" ht="15.75" customHeight="1">
      <c r="A107" s="7"/>
      <c r="B107" s="11"/>
      <c r="C107" s="11"/>
      <c r="D107" s="7"/>
      <c r="E107" s="67"/>
      <c r="F107" s="7"/>
      <c r="G107" s="7"/>
      <c r="H107" s="7"/>
      <c r="I107" s="7"/>
      <c r="J107" s="7"/>
      <c r="K107" s="7"/>
    </row>
    <row r="108" spans="1:11" ht="15.75" customHeight="1">
      <c r="A108" s="7"/>
      <c r="B108" s="11"/>
      <c r="C108" s="11"/>
      <c r="D108" s="7"/>
      <c r="E108" s="67"/>
      <c r="F108" s="7"/>
      <c r="G108" s="7"/>
      <c r="H108" s="7"/>
      <c r="I108" s="7"/>
      <c r="J108" s="7"/>
      <c r="K108" s="7"/>
    </row>
    <row r="109" spans="1:11" ht="15.75" customHeight="1">
      <c r="A109" s="7"/>
      <c r="B109" s="11"/>
      <c r="C109" s="11"/>
      <c r="D109" s="7"/>
      <c r="E109" s="67"/>
      <c r="F109" s="7"/>
      <c r="G109" s="7"/>
      <c r="H109" s="7"/>
      <c r="I109" s="7"/>
      <c r="J109" s="7"/>
      <c r="K109" s="7"/>
    </row>
    <row r="110" spans="1:11" ht="15.75" customHeight="1">
      <c r="A110" s="7"/>
      <c r="B110" s="11"/>
      <c r="C110" s="11"/>
      <c r="D110" s="7"/>
      <c r="E110" s="67"/>
      <c r="F110" s="7"/>
      <c r="G110" s="7"/>
      <c r="H110" s="7"/>
      <c r="I110" s="7"/>
      <c r="J110" s="7"/>
      <c r="K110" s="7"/>
    </row>
    <row r="111" spans="1:11" ht="15.75" customHeight="1">
      <c r="A111" s="7"/>
      <c r="B111" s="11"/>
      <c r="C111" s="11"/>
      <c r="D111" s="7"/>
      <c r="E111" s="67"/>
      <c r="F111" s="7"/>
      <c r="G111" s="7"/>
      <c r="H111" s="7"/>
      <c r="I111" s="7"/>
      <c r="J111" s="7"/>
      <c r="K111" s="7"/>
    </row>
    <row r="112" spans="1:11" ht="15.75" customHeight="1">
      <c r="A112" s="7"/>
      <c r="B112" s="11"/>
      <c r="C112" s="11"/>
      <c r="D112" s="7"/>
      <c r="E112" s="67"/>
      <c r="F112" s="7"/>
      <c r="G112" s="7"/>
      <c r="H112" s="7"/>
      <c r="I112" s="7"/>
      <c r="J112" s="7"/>
      <c r="K112" s="7"/>
    </row>
    <row r="113" spans="1:11" ht="15.75" customHeight="1">
      <c r="A113" s="7"/>
      <c r="B113" s="11"/>
      <c r="C113" s="11"/>
      <c r="D113" s="7"/>
      <c r="E113" s="67"/>
      <c r="F113" s="7"/>
      <c r="G113" s="7"/>
      <c r="H113" s="7"/>
      <c r="I113" s="7"/>
      <c r="J113" s="7"/>
      <c r="K113" s="7"/>
    </row>
    <row r="114" spans="1:11" ht="15.75" customHeight="1">
      <c r="A114" s="7"/>
      <c r="B114" s="11"/>
      <c r="C114" s="11"/>
      <c r="D114" s="7"/>
      <c r="E114" s="67"/>
      <c r="F114" s="7"/>
      <c r="G114" s="7"/>
      <c r="H114" s="7"/>
      <c r="I114" s="7"/>
      <c r="J114" s="7"/>
      <c r="K114" s="7"/>
    </row>
    <row r="115" spans="1:11" ht="15.75" customHeight="1">
      <c r="A115" s="7"/>
      <c r="B115" s="11"/>
      <c r="C115" s="11"/>
      <c r="D115" s="7"/>
      <c r="E115" s="67"/>
      <c r="F115" s="7"/>
      <c r="G115" s="7"/>
      <c r="H115" s="7"/>
      <c r="I115" s="7"/>
      <c r="J115" s="7"/>
      <c r="K115" s="7"/>
    </row>
    <row r="116" spans="1:11" ht="15.75" customHeight="1">
      <c r="A116" s="7"/>
      <c r="B116" s="11"/>
      <c r="C116" s="11"/>
      <c r="D116" s="7"/>
      <c r="E116" s="67"/>
      <c r="F116" s="7"/>
      <c r="G116" s="7"/>
      <c r="H116" s="7"/>
      <c r="I116" s="7"/>
      <c r="J116" s="7"/>
      <c r="K116" s="7"/>
    </row>
    <row r="117" spans="1:11" ht="15.75" customHeight="1">
      <c r="A117" s="7"/>
      <c r="B117" s="11"/>
      <c r="C117" s="11"/>
      <c r="D117" s="7"/>
      <c r="E117" s="67"/>
      <c r="F117" s="7"/>
      <c r="G117" s="7"/>
      <c r="H117" s="7"/>
      <c r="I117" s="7"/>
      <c r="J117" s="7"/>
      <c r="K117" s="7"/>
    </row>
    <row r="118" spans="1:11" ht="15.75" customHeight="1">
      <c r="A118" s="7"/>
      <c r="B118" s="11"/>
      <c r="C118" s="11"/>
      <c r="D118" s="7"/>
      <c r="E118" s="67"/>
      <c r="F118" s="7"/>
      <c r="G118" s="7"/>
      <c r="H118" s="7"/>
      <c r="I118" s="7"/>
      <c r="J118" s="7"/>
      <c r="K118" s="7"/>
    </row>
    <row r="119" spans="1:11" ht="15.75" customHeight="1">
      <c r="A119" s="7"/>
      <c r="B119" s="11"/>
      <c r="C119" s="11"/>
      <c r="D119" s="7"/>
      <c r="E119" s="67"/>
      <c r="F119" s="7"/>
      <c r="G119" s="7"/>
      <c r="H119" s="7"/>
      <c r="I119" s="7"/>
      <c r="J119" s="7"/>
      <c r="K119" s="7"/>
    </row>
    <row r="120" spans="1:11" ht="15.75" customHeight="1">
      <c r="A120" s="7"/>
      <c r="B120" s="11"/>
      <c r="C120" s="11"/>
      <c r="D120" s="7"/>
      <c r="E120" s="67"/>
      <c r="F120" s="7"/>
      <c r="G120" s="7"/>
      <c r="H120" s="7"/>
      <c r="I120" s="7"/>
      <c r="J120" s="7"/>
      <c r="K120" s="7"/>
    </row>
    <row r="121" spans="1:11" ht="15.75" customHeight="1">
      <c r="A121" s="7"/>
      <c r="B121" s="11"/>
      <c r="C121" s="11"/>
      <c r="D121" s="7"/>
      <c r="E121" s="67"/>
      <c r="F121" s="7"/>
      <c r="G121" s="7"/>
      <c r="H121" s="7"/>
      <c r="I121" s="7"/>
      <c r="J121" s="7"/>
      <c r="K121" s="7"/>
    </row>
    <row r="122" spans="1:11" ht="15.75" customHeight="1">
      <c r="A122" s="7"/>
      <c r="B122" s="11"/>
      <c r="C122" s="11"/>
      <c r="D122" s="7"/>
      <c r="E122" s="67"/>
      <c r="F122" s="7"/>
      <c r="G122" s="7"/>
      <c r="H122" s="7"/>
      <c r="I122" s="7"/>
      <c r="J122" s="7"/>
      <c r="K122" s="7"/>
    </row>
    <row r="123" spans="1:11" ht="15.75" customHeight="1">
      <c r="A123" s="7"/>
      <c r="B123" s="11"/>
      <c r="C123" s="11"/>
      <c r="D123" s="7"/>
      <c r="E123" s="67"/>
      <c r="F123" s="7"/>
      <c r="G123" s="7"/>
      <c r="H123" s="7"/>
      <c r="I123" s="7"/>
      <c r="J123" s="7"/>
      <c r="K123" s="7"/>
    </row>
    <row r="124" spans="1:11" ht="15.75" customHeight="1">
      <c r="A124" s="7"/>
      <c r="B124" s="11"/>
      <c r="C124" s="11"/>
      <c r="D124" s="7"/>
      <c r="E124" s="67"/>
      <c r="F124" s="7"/>
      <c r="G124" s="7"/>
      <c r="H124" s="7"/>
      <c r="I124" s="7"/>
      <c r="J124" s="7"/>
      <c r="K124" s="7"/>
    </row>
    <row r="125" spans="1:11" ht="15.75" customHeight="1">
      <c r="A125" s="7"/>
      <c r="B125" s="11"/>
      <c r="C125" s="11"/>
      <c r="D125" s="7"/>
      <c r="E125" s="67"/>
      <c r="F125" s="7"/>
      <c r="G125" s="7"/>
      <c r="H125" s="7"/>
      <c r="I125" s="7"/>
      <c r="J125" s="7"/>
      <c r="K125" s="7"/>
    </row>
    <row r="126" spans="1:11" ht="15.75" customHeight="1">
      <c r="A126" s="7"/>
      <c r="B126" s="11"/>
      <c r="C126" s="11"/>
      <c r="D126" s="7"/>
      <c r="E126" s="67"/>
      <c r="F126" s="7"/>
      <c r="G126" s="7"/>
      <c r="H126" s="7"/>
      <c r="I126" s="7"/>
      <c r="J126" s="7"/>
      <c r="K126" s="7"/>
    </row>
    <row r="127" spans="1:11" ht="15.75" customHeight="1">
      <c r="A127" s="7"/>
      <c r="B127" s="11"/>
      <c r="C127" s="11"/>
      <c r="D127" s="7"/>
      <c r="E127" s="67"/>
      <c r="F127" s="7"/>
      <c r="G127" s="7"/>
      <c r="H127" s="7"/>
      <c r="I127" s="7"/>
      <c r="J127" s="7"/>
      <c r="K127" s="7"/>
    </row>
    <row r="128" spans="1:11" ht="15.75" customHeight="1">
      <c r="A128" s="7"/>
      <c r="B128" s="11"/>
      <c r="C128" s="11"/>
      <c r="D128" s="7"/>
      <c r="E128" s="67"/>
      <c r="F128" s="7"/>
      <c r="G128" s="7"/>
      <c r="H128" s="7"/>
      <c r="I128" s="7"/>
      <c r="J128" s="7"/>
      <c r="K128" s="7"/>
    </row>
    <row r="129" spans="1:11" ht="15.75" customHeight="1">
      <c r="A129" s="7"/>
      <c r="B129" s="11"/>
      <c r="C129" s="11"/>
      <c r="D129" s="7"/>
      <c r="E129" s="67"/>
      <c r="F129" s="7"/>
      <c r="G129" s="7"/>
      <c r="H129" s="7"/>
      <c r="I129" s="7"/>
      <c r="J129" s="7"/>
      <c r="K129" s="7"/>
    </row>
    <row r="130" spans="1:11" ht="15.75" customHeight="1">
      <c r="A130" s="7"/>
      <c r="B130" s="11"/>
      <c r="C130" s="11"/>
      <c r="D130" s="7"/>
      <c r="E130" s="67"/>
      <c r="F130" s="7"/>
      <c r="G130" s="7"/>
      <c r="H130" s="7"/>
      <c r="I130" s="7"/>
      <c r="J130" s="7"/>
      <c r="K130" s="7"/>
    </row>
    <row r="131" spans="1:11" ht="15.75" customHeight="1">
      <c r="A131" s="7"/>
      <c r="B131" s="11"/>
      <c r="C131" s="11"/>
      <c r="D131" s="7"/>
      <c r="E131" s="67"/>
      <c r="F131" s="7"/>
      <c r="G131" s="7"/>
      <c r="H131" s="7"/>
      <c r="I131" s="7"/>
      <c r="J131" s="7"/>
      <c r="K131" s="7"/>
    </row>
    <row r="132" spans="1:11" ht="15.75" customHeight="1">
      <c r="A132" s="7"/>
      <c r="B132" s="11"/>
      <c r="C132" s="11"/>
      <c r="D132" s="7"/>
      <c r="E132" s="67"/>
      <c r="F132" s="7"/>
      <c r="G132" s="7"/>
      <c r="H132" s="7"/>
      <c r="I132" s="7"/>
      <c r="J132" s="7"/>
      <c r="K132" s="7"/>
    </row>
    <row r="133" spans="1:11" ht="15.75" customHeight="1">
      <c r="A133" s="7"/>
      <c r="B133" s="11"/>
      <c r="C133" s="11"/>
      <c r="D133" s="7"/>
      <c r="E133" s="67"/>
      <c r="F133" s="7"/>
      <c r="G133" s="7"/>
      <c r="H133" s="7"/>
      <c r="I133" s="7"/>
      <c r="J133" s="7"/>
      <c r="K133" s="7"/>
    </row>
    <row r="134" spans="1:11" ht="15.75" customHeight="1">
      <c r="A134" s="7"/>
      <c r="B134" s="11"/>
      <c r="C134" s="11"/>
      <c r="D134" s="7"/>
      <c r="E134" s="67"/>
      <c r="F134" s="7"/>
      <c r="G134" s="7"/>
      <c r="H134" s="7"/>
      <c r="I134" s="7"/>
      <c r="J134" s="7"/>
      <c r="K134" s="7"/>
    </row>
    <row r="135" spans="1:11" ht="15.75" customHeight="1">
      <c r="A135" s="7"/>
      <c r="B135" s="11"/>
      <c r="C135" s="11"/>
      <c r="D135" s="7"/>
      <c r="E135" s="67"/>
      <c r="F135" s="7"/>
      <c r="G135" s="7"/>
      <c r="H135" s="7"/>
      <c r="I135" s="7"/>
      <c r="J135" s="7"/>
      <c r="K135" s="7"/>
    </row>
    <row r="136" spans="1:11" ht="15.75" customHeight="1">
      <c r="A136" s="7"/>
      <c r="B136" s="11"/>
      <c r="C136" s="11"/>
      <c r="D136" s="7"/>
      <c r="E136" s="67"/>
      <c r="F136" s="7"/>
      <c r="G136" s="7"/>
      <c r="H136" s="7"/>
      <c r="I136" s="7"/>
      <c r="J136" s="7"/>
      <c r="K136" s="7"/>
    </row>
    <row r="137" spans="1:11" ht="15.75" customHeight="1">
      <c r="A137" s="7"/>
      <c r="B137" s="11"/>
      <c r="C137" s="11"/>
      <c r="D137" s="7"/>
      <c r="E137" s="67"/>
      <c r="F137" s="7"/>
      <c r="G137" s="7"/>
      <c r="H137" s="7"/>
      <c r="I137" s="7"/>
      <c r="J137" s="7"/>
      <c r="K137" s="7"/>
    </row>
    <row r="138" spans="1:11" ht="15.75" customHeight="1">
      <c r="A138" s="7"/>
      <c r="B138" s="11"/>
      <c r="C138" s="11"/>
      <c r="D138" s="7"/>
      <c r="E138" s="67"/>
      <c r="F138" s="7"/>
      <c r="G138" s="7"/>
      <c r="H138" s="7"/>
      <c r="I138" s="7"/>
      <c r="J138" s="7"/>
      <c r="K138" s="7"/>
    </row>
    <row r="139" spans="1:11" ht="15.75" customHeight="1">
      <c r="A139" s="7"/>
      <c r="B139" s="11"/>
      <c r="C139" s="11"/>
      <c r="D139" s="7"/>
      <c r="E139" s="67"/>
      <c r="F139" s="7"/>
      <c r="G139" s="7"/>
      <c r="H139" s="7"/>
      <c r="I139" s="7"/>
      <c r="J139" s="7"/>
      <c r="K139" s="7"/>
    </row>
    <row r="140" spans="1:11" ht="15.75" customHeight="1">
      <c r="A140" s="7"/>
      <c r="B140" s="11"/>
      <c r="C140" s="11"/>
      <c r="D140" s="7"/>
      <c r="E140" s="67"/>
      <c r="F140" s="7"/>
      <c r="G140" s="7"/>
      <c r="H140" s="7"/>
      <c r="I140" s="7"/>
      <c r="J140" s="7"/>
      <c r="K140" s="7"/>
    </row>
    <row r="141" spans="1:11" ht="15.75" customHeight="1">
      <c r="A141" s="7"/>
      <c r="B141" s="11"/>
      <c r="C141" s="11"/>
      <c r="D141" s="7"/>
      <c r="E141" s="67"/>
      <c r="F141" s="7"/>
      <c r="G141" s="7"/>
      <c r="H141" s="7"/>
      <c r="I141" s="7"/>
      <c r="J141" s="7"/>
      <c r="K141" s="7"/>
    </row>
    <row r="142" spans="1:11" ht="15.75" customHeight="1">
      <c r="A142" s="7"/>
      <c r="B142" s="11"/>
      <c r="C142" s="11"/>
      <c r="D142" s="7"/>
      <c r="E142" s="67"/>
      <c r="F142" s="7"/>
      <c r="G142" s="7"/>
      <c r="H142" s="7"/>
      <c r="I142" s="7"/>
      <c r="J142" s="7"/>
      <c r="K142" s="7"/>
    </row>
    <row r="143" spans="1:11" ht="15.75" customHeight="1">
      <c r="A143" s="7"/>
      <c r="B143" s="11"/>
      <c r="C143" s="11"/>
      <c r="D143" s="7"/>
      <c r="E143" s="67"/>
      <c r="F143" s="7"/>
      <c r="G143" s="7"/>
      <c r="H143" s="7"/>
      <c r="I143" s="7"/>
      <c r="J143" s="7"/>
      <c r="K143" s="7"/>
    </row>
    <row r="144" spans="1:11" ht="15.75" customHeight="1">
      <c r="A144" s="7"/>
      <c r="B144" s="11"/>
      <c r="C144" s="11"/>
      <c r="D144" s="7"/>
      <c r="E144" s="67"/>
      <c r="F144" s="7"/>
      <c r="G144" s="7"/>
      <c r="H144" s="7"/>
      <c r="I144" s="7"/>
      <c r="J144" s="7"/>
      <c r="K144" s="7"/>
    </row>
    <row r="145" spans="1:11" ht="15.75" customHeight="1">
      <c r="A145" s="7"/>
      <c r="B145" s="11"/>
      <c r="C145" s="11"/>
      <c r="D145" s="7"/>
      <c r="E145" s="67"/>
      <c r="F145" s="7"/>
      <c r="G145" s="7"/>
      <c r="H145" s="7"/>
      <c r="I145" s="7"/>
      <c r="J145" s="7"/>
      <c r="K145" s="7"/>
    </row>
    <row r="146" spans="1:11" ht="15.75" customHeight="1">
      <c r="A146" s="7"/>
      <c r="B146" s="11"/>
      <c r="C146" s="11"/>
      <c r="D146" s="7"/>
      <c r="E146" s="67"/>
      <c r="F146" s="7"/>
      <c r="G146" s="7"/>
      <c r="H146" s="7"/>
      <c r="I146" s="7"/>
      <c r="J146" s="7"/>
      <c r="K146" s="7"/>
    </row>
    <row r="147" spans="1:11" ht="15.75" customHeight="1">
      <c r="A147" s="7"/>
      <c r="B147" s="11"/>
      <c r="C147" s="11"/>
      <c r="D147" s="7"/>
      <c r="E147" s="67"/>
      <c r="F147" s="7"/>
      <c r="G147" s="7"/>
      <c r="H147" s="7"/>
      <c r="I147" s="7"/>
      <c r="J147" s="7"/>
      <c r="K147" s="7"/>
    </row>
    <row r="148" spans="1:11" ht="15.75" customHeight="1">
      <c r="A148" s="7"/>
      <c r="B148" s="11"/>
      <c r="C148" s="11"/>
      <c r="D148" s="7"/>
      <c r="E148" s="67"/>
      <c r="F148" s="7"/>
      <c r="G148" s="7"/>
      <c r="H148" s="7"/>
      <c r="I148" s="7"/>
      <c r="J148" s="7"/>
      <c r="K148" s="7"/>
    </row>
    <row r="149" spans="1:11" ht="15.75" customHeight="1">
      <c r="A149" s="7"/>
      <c r="B149" s="11"/>
      <c r="C149" s="11"/>
      <c r="D149" s="7"/>
      <c r="E149" s="67"/>
      <c r="F149" s="7"/>
      <c r="G149" s="7"/>
      <c r="H149" s="7"/>
      <c r="I149" s="7"/>
      <c r="J149" s="7"/>
      <c r="K149" s="7"/>
    </row>
    <row r="150" spans="1:11" ht="15.75" customHeight="1">
      <c r="A150" s="7"/>
      <c r="B150" s="11"/>
      <c r="C150" s="11"/>
      <c r="D150" s="7"/>
      <c r="E150" s="67"/>
      <c r="F150" s="7"/>
      <c r="G150" s="7"/>
      <c r="H150" s="7"/>
      <c r="I150" s="7"/>
      <c r="J150" s="7"/>
      <c r="K150" s="7"/>
    </row>
    <row r="151" spans="1:11" ht="15.75" customHeight="1">
      <c r="A151" s="7"/>
      <c r="B151" s="11"/>
      <c r="C151" s="11"/>
      <c r="D151" s="7"/>
      <c r="E151" s="67"/>
      <c r="F151" s="7"/>
      <c r="G151" s="7"/>
      <c r="H151" s="7"/>
      <c r="I151" s="7"/>
      <c r="J151" s="7"/>
      <c r="K151" s="7"/>
    </row>
    <row r="152" spans="1:11" ht="15.75" customHeight="1">
      <c r="A152" s="7"/>
      <c r="B152" s="11"/>
      <c r="C152" s="11"/>
      <c r="D152" s="7"/>
      <c r="E152" s="67"/>
      <c r="F152" s="7"/>
      <c r="G152" s="7"/>
      <c r="H152" s="7"/>
      <c r="I152" s="7"/>
      <c r="J152" s="7"/>
      <c r="K152" s="7"/>
    </row>
    <row r="153" spans="1:11" ht="15.75" customHeight="1">
      <c r="A153" s="7"/>
      <c r="B153" s="11"/>
      <c r="C153" s="11"/>
      <c r="D153" s="7"/>
      <c r="E153" s="67"/>
      <c r="F153" s="7"/>
      <c r="G153" s="7"/>
      <c r="H153" s="7"/>
      <c r="I153" s="7"/>
      <c r="J153" s="7"/>
      <c r="K153" s="7"/>
    </row>
    <row r="154" spans="1:11" ht="15.75" customHeight="1">
      <c r="A154" s="7"/>
      <c r="B154" s="11"/>
      <c r="C154" s="11"/>
      <c r="D154" s="7"/>
      <c r="E154" s="67"/>
      <c r="F154" s="7"/>
      <c r="G154" s="7"/>
      <c r="H154" s="7"/>
      <c r="I154" s="7"/>
      <c r="J154" s="7"/>
      <c r="K154" s="7"/>
    </row>
    <row r="155" spans="1:11" ht="15.75" customHeight="1">
      <c r="A155" s="7"/>
      <c r="B155" s="11"/>
      <c r="C155" s="11"/>
      <c r="D155" s="7"/>
      <c r="E155" s="67"/>
      <c r="F155" s="7"/>
      <c r="G155" s="7"/>
      <c r="H155" s="7"/>
      <c r="I155" s="7"/>
      <c r="J155" s="7"/>
      <c r="K155" s="7"/>
    </row>
    <row r="156" spans="1:11" ht="15.75" customHeight="1">
      <c r="A156" s="7"/>
      <c r="B156" s="11"/>
      <c r="C156" s="11"/>
      <c r="D156" s="7"/>
      <c r="E156" s="67"/>
      <c r="F156" s="7"/>
      <c r="G156" s="7"/>
      <c r="H156" s="7"/>
      <c r="I156" s="7"/>
      <c r="J156" s="7"/>
      <c r="K156" s="7"/>
    </row>
    <row r="157" spans="1:11" ht="15.75" customHeight="1">
      <c r="A157" s="7"/>
      <c r="B157" s="11"/>
      <c r="C157" s="11"/>
      <c r="D157" s="7"/>
      <c r="E157" s="67"/>
      <c r="F157" s="7"/>
      <c r="G157" s="7"/>
      <c r="H157" s="7"/>
      <c r="I157" s="7"/>
      <c r="J157" s="7"/>
      <c r="K157" s="7"/>
    </row>
    <row r="158" spans="1:11" ht="15.75" customHeight="1">
      <c r="A158" s="7"/>
      <c r="B158" s="11"/>
      <c r="C158" s="11"/>
      <c r="D158" s="7"/>
      <c r="E158" s="67"/>
      <c r="F158" s="7"/>
      <c r="G158" s="7"/>
      <c r="H158" s="7"/>
      <c r="I158" s="7"/>
      <c r="J158" s="7"/>
      <c r="K158" s="7"/>
    </row>
    <row r="159" spans="1:11" ht="15.75" customHeight="1">
      <c r="A159" s="7"/>
      <c r="B159" s="11"/>
      <c r="C159" s="11"/>
      <c r="D159" s="7"/>
      <c r="E159" s="67"/>
      <c r="F159" s="7"/>
      <c r="G159" s="7"/>
      <c r="H159" s="7"/>
      <c r="I159" s="7"/>
      <c r="J159" s="7"/>
      <c r="K159" s="7"/>
    </row>
    <row r="160" spans="1:11" ht="15.75" customHeight="1">
      <c r="A160" s="7"/>
      <c r="B160" s="11"/>
      <c r="C160" s="11"/>
      <c r="D160" s="7"/>
      <c r="E160" s="67"/>
      <c r="F160" s="7"/>
      <c r="G160" s="7"/>
      <c r="H160" s="7"/>
      <c r="I160" s="7"/>
      <c r="J160" s="7"/>
      <c r="K160" s="7"/>
    </row>
    <row r="161" spans="1:11" ht="15.75" customHeight="1">
      <c r="A161" s="7"/>
      <c r="B161" s="11"/>
      <c r="C161" s="11"/>
      <c r="D161" s="7"/>
      <c r="E161" s="67"/>
      <c r="F161" s="7"/>
      <c r="G161" s="7"/>
      <c r="H161" s="7"/>
      <c r="I161" s="7"/>
      <c r="J161" s="7"/>
      <c r="K161" s="7"/>
    </row>
    <row r="162" spans="1:11" ht="15.75" customHeight="1">
      <c r="A162" s="7"/>
      <c r="B162" s="11"/>
      <c r="C162" s="11"/>
      <c r="D162" s="7"/>
      <c r="E162" s="67"/>
      <c r="F162" s="7"/>
      <c r="G162" s="7"/>
      <c r="H162" s="7"/>
      <c r="I162" s="7"/>
      <c r="J162" s="7"/>
      <c r="K162" s="7"/>
    </row>
    <row r="163" spans="1:11" ht="15.75" customHeight="1">
      <c r="A163" s="7"/>
      <c r="B163" s="11"/>
      <c r="C163" s="11"/>
      <c r="D163" s="7"/>
      <c r="E163" s="67"/>
      <c r="F163" s="7"/>
      <c r="G163" s="7"/>
      <c r="H163" s="7"/>
      <c r="I163" s="7"/>
      <c r="J163" s="7"/>
      <c r="K163" s="7"/>
    </row>
    <row r="164" spans="1:11" ht="15.75" customHeight="1">
      <c r="A164" s="7"/>
      <c r="B164" s="11"/>
      <c r="C164" s="11"/>
      <c r="D164" s="7"/>
      <c r="E164" s="67"/>
      <c r="F164" s="7"/>
      <c r="G164" s="7"/>
      <c r="H164" s="7"/>
      <c r="I164" s="7"/>
      <c r="J164" s="7"/>
      <c r="K164" s="7"/>
    </row>
    <row r="165" spans="1:11" ht="15.75" customHeight="1">
      <c r="A165" s="7"/>
      <c r="B165" s="11"/>
      <c r="C165" s="11"/>
      <c r="D165" s="7"/>
      <c r="E165" s="67"/>
      <c r="F165" s="7"/>
      <c r="G165" s="7"/>
      <c r="H165" s="7"/>
      <c r="I165" s="7"/>
      <c r="J165" s="7"/>
      <c r="K165" s="7"/>
    </row>
    <row r="166" spans="1:11" ht="15.75" customHeight="1">
      <c r="A166" s="7"/>
      <c r="B166" s="11"/>
      <c r="C166" s="11"/>
      <c r="D166" s="7"/>
      <c r="E166" s="67"/>
      <c r="F166" s="7"/>
      <c r="G166" s="7"/>
      <c r="H166" s="7"/>
      <c r="I166" s="7"/>
      <c r="J166" s="7"/>
      <c r="K166" s="7"/>
    </row>
    <row r="167" spans="1:11" ht="15.75" customHeight="1">
      <c r="A167" s="7"/>
      <c r="B167" s="11"/>
      <c r="C167" s="11"/>
      <c r="D167" s="7"/>
      <c r="E167" s="67"/>
      <c r="F167" s="7"/>
      <c r="G167" s="7"/>
      <c r="H167" s="7"/>
      <c r="I167" s="7"/>
      <c r="J167" s="7"/>
      <c r="K167" s="7"/>
    </row>
    <row r="168" spans="1:11" ht="15.75" customHeight="1">
      <c r="A168" s="7"/>
      <c r="B168" s="11"/>
      <c r="C168" s="11"/>
      <c r="D168" s="7"/>
      <c r="E168" s="67"/>
      <c r="F168" s="7"/>
      <c r="G168" s="7"/>
      <c r="H168" s="7"/>
      <c r="I168" s="7"/>
      <c r="J168" s="7"/>
      <c r="K168" s="7"/>
    </row>
    <row r="169" spans="1:11" ht="15.75" customHeight="1">
      <c r="A169" s="7"/>
      <c r="B169" s="11"/>
      <c r="C169" s="11"/>
      <c r="D169" s="7"/>
      <c r="E169" s="67"/>
      <c r="F169" s="7"/>
      <c r="G169" s="7"/>
      <c r="H169" s="7"/>
      <c r="I169" s="7"/>
      <c r="J169" s="7"/>
      <c r="K169" s="7"/>
    </row>
    <row r="170" spans="1:11" ht="15.75" customHeight="1">
      <c r="A170" s="7"/>
      <c r="B170" s="11"/>
      <c r="C170" s="11"/>
      <c r="D170" s="7"/>
      <c r="E170" s="67"/>
      <c r="F170" s="7"/>
      <c r="G170" s="7"/>
      <c r="H170" s="7"/>
      <c r="I170" s="7"/>
      <c r="J170" s="7"/>
      <c r="K170" s="7"/>
    </row>
    <row r="171" spans="1:11" ht="15.75" customHeight="1">
      <c r="A171" s="7"/>
      <c r="B171" s="11"/>
      <c r="C171" s="11"/>
      <c r="D171" s="7"/>
      <c r="E171" s="67"/>
      <c r="F171" s="7"/>
      <c r="G171" s="7"/>
      <c r="H171" s="7"/>
      <c r="I171" s="7"/>
      <c r="J171" s="7"/>
      <c r="K171" s="7"/>
    </row>
    <row r="172" spans="1:11" ht="15.75" customHeight="1">
      <c r="A172" s="7"/>
      <c r="B172" s="11"/>
      <c r="C172" s="11"/>
      <c r="D172" s="7"/>
      <c r="E172" s="67"/>
      <c r="F172" s="7"/>
      <c r="G172" s="7"/>
      <c r="H172" s="7"/>
      <c r="I172" s="7"/>
      <c r="J172" s="7"/>
      <c r="K172" s="7"/>
    </row>
    <row r="173" spans="1:11" ht="15.75" customHeight="1">
      <c r="A173" s="7"/>
      <c r="B173" s="11"/>
      <c r="C173" s="11"/>
      <c r="D173" s="7"/>
      <c r="E173" s="67"/>
      <c r="F173" s="7"/>
      <c r="G173" s="7"/>
      <c r="H173" s="7"/>
      <c r="I173" s="7"/>
      <c r="J173" s="7"/>
      <c r="K173" s="7"/>
    </row>
    <row r="174" spans="1:11" ht="15.75" customHeight="1">
      <c r="A174" s="7"/>
      <c r="B174" s="11"/>
      <c r="C174" s="11"/>
      <c r="D174" s="7"/>
      <c r="E174" s="67"/>
      <c r="F174" s="7"/>
      <c r="G174" s="7"/>
      <c r="H174" s="7"/>
      <c r="I174" s="7"/>
      <c r="J174" s="7"/>
      <c r="K174" s="7"/>
    </row>
    <row r="175" spans="1:11" ht="15.75" customHeight="1">
      <c r="A175" s="7"/>
      <c r="B175" s="11"/>
      <c r="C175" s="11"/>
      <c r="D175" s="7"/>
      <c r="E175" s="67"/>
      <c r="F175" s="7"/>
      <c r="G175" s="7"/>
      <c r="H175" s="7"/>
      <c r="I175" s="7"/>
      <c r="J175" s="7"/>
      <c r="K175" s="7"/>
    </row>
    <row r="176" spans="1:11" ht="15.75" customHeight="1">
      <c r="A176" s="7"/>
      <c r="B176" s="11"/>
      <c r="C176" s="11"/>
      <c r="D176" s="7"/>
      <c r="E176" s="67"/>
      <c r="F176" s="7"/>
      <c r="G176" s="7"/>
      <c r="H176" s="7"/>
      <c r="I176" s="7"/>
      <c r="J176" s="7"/>
      <c r="K176" s="7"/>
    </row>
    <row r="177" spans="1:11" ht="15.75" customHeight="1">
      <c r="A177" s="7"/>
      <c r="B177" s="11"/>
      <c r="C177" s="11"/>
      <c r="D177" s="7"/>
      <c r="E177" s="67"/>
      <c r="F177" s="7"/>
      <c r="G177" s="7"/>
      <c r="H177" s="7"/>
      <c r="I177" s="7"/>
      <c r="J177" s="7"/>
      <c r="K177" s="7"/>
    </row>
    <row r="178" spans="1:11" ht="15.75" customHeight="1">
      <c r="A178" s="7"/>
      <c r="B178" s="11"/>
      <c r="C178" s="11"/>
      <c r="D178" s="7"/>
      <c r="E178" s="67"/>
      <c r="F178" s="7"/>
      <c r="G178" s="7"/>
      <c r="H178" s="7"/>
      <c r="I178" s="7"/>
      <c r="J178" s="7"/>
      <c r="K178" s="7"/>
    </row>
    <row r="179" spans="1:11" ht="15.75" customHeight="1">
      <c r="A179" s="7"/>
      <c r="B179" s="11"/>
      <c r="C179" s="11"/>
      <c r="D179" s="7"/>
      <c r="E179" s="67"/>
      <c r="F179" s="7"/>
      <c r="G179" s="7"/>
      <c r="H179" s="7"/>
      <c r="I179" s="7"/>
      <c r="J179" s="7"/>
      <c r="K179" s="7"/>
    </row>
    <row r="180" spans="1:11" ht="15.75" customHeight="1">
      <c r="A180" s="7"/>
      <c r="B180" s="11"/>
      <c r="C180" s="11"/>
      <c r="D180" s="7"/>
      <c r="E180" s="67"/>
      <c r="F180" s="7"/>
      <c r="G180" s="7"/>
      <c r="H180" s="7"/>
      <c r="I180" s="7"/>
      <c r="J180" s="7"/>
      <c r="K180" s="7"/>
    </row>
    <row r="181" spans="1:11" ht="15.75" customHeight="1">
      <c r="A181" s="7"/>
      <c r="B181" s="11"/>
      <c r="C181" s="11"/>
      <c r="D181" s="7"/>
      <c r="E181" s="67"/>
      <c r="F181" s="7"/>
      <c r="G181" s="7"/>
      <c r="H181" s="7"/>
      <c r="I181" s="7"/>
      <c r="J181" s="7"/>
      <c r="K181" s="7"/>
    </row>
    <row r="182" spans="1:11" ht="15.75" customHeight="1">
      <c r="A182" s="7"/>
      <c r="B182" s="11"/>
      <c r="C182" s="11"/>
      <c r="D182" s="7"/>
      <c r="E182" s="67"/>
      <c r="F182" s="7"/>
      <c r="G182" s="7"/>
      <c r="H182" s="7"/>
      <c r="I182" s="7"/>
      <c r="J182" s="7"/>
      <c r="K182" s="7"/>
    </row>
    <row r="183" spans="1:11" ht="15.75" customHeight="1">
      <c r="A183" s="7"/>
      <c r="B183" s="11"/>
      <c r="C183" s="11"/>
      <c r="D183" s="7"/>
      <c r="E183" s="67"/>
      <c r="F183" s="7"/>
      <c r="G183" s="7"/>
      <c r="H183" s="7"/>
      <c r="I183" s="7"/>
      <c r="J183" s="7"/>
      <c r="K183" s="7"/>
    </row>
    <row r="184" spans="1:11" ht="15.75" customHeight="1">
      <c r="A184" s="7"/>
      <c r="B184" s="11"/>
      <c r="C184" s="11"/>
      <c r="D184" s="7"/>
      <c r="E184" s="67"/>
      <c r="F184" s="7"/>
      <c r="G184" s="7"/>
      <c r="H184" s="7"/>
      <c r="I184" s="7"/>
      <c r="J184" s="7"/>
      <c r="K184" s="7"/>
    </row>
    <row r="185" spans="1:11" ht="15.75" customHeight="1">
      <c r="A185" s="7"/>
      <c r="B185" s="11"/>
      <c r="C185" s="11"/>
      <c r="D185" s="7"/>
      <c r="E185" s="67"/>
      <c r="F185" s="7"/>
      <c r="G185" s="7"/>
      <c r="H185" s="7"/>
      <c r="I185" s="7"/>
      <c r="J185" s="7"/>
      <c r="K185" s="7"/>
    </row>
    <row r="186" spans="1:11" ht="15.75" customHeight="1">
      <c r="A186" s="7"/>
      <c r="B186" s="11"/>
      <c r="C186" s="11"/>
      <c r="D186" s="7"/>
      <c r="E186" s="67"/>
      <c r="F186" s="7"/>
      <c r="G186" s="7"/>
      <c r="H186" s="7"/>
      <c r="I186" s="7"/>
      <c r="J186" s="7"/>
      <c r="K186" s="7"/>
    </row>
    <row r="187" spans="1:11" ht="15.75" customHeight="1">
      <c r="A187" s="7"/>
      <c r="B187" s="11"/>
      <c r="C187" s="11"/>
      <c r="D187" s="7"/>
      <c r="E187" s="67"/>
      <c r="F187" s="7"/>
      <c r="G187" s="7"/>
      <c r="H187" s="7"/>
      <c r="I187" s="7"/>
      <c r="J187" s="7"/>
      <c r="K187" s="7"/>
    </row>
    <row r="188" spans="1:11" ht="15.75" customHeight="1">
      <c r="A188" s="7"/>
      <c r="B188" s="11"/>
      <c r="C188" s="11"/>
      <c r="D188" s="7"/>
      <c r="E188" s="67"/>
      <c r="F188" s="7"/>
      <c r="G188" s="7"/>
      <c r="H188" s="7"/>
      <c r="I188" s="7"/>
      <c r="J188" s="7"/>
      <c r="K188" s="7"/>
    </row>
    <row r="189" spans="1:11" ht="15.75" customHeight="1">
      <c r="A189" s="7"/>
      <c r="B189" s="11"/>
      <c r="C189" s="11"/>
      <c r="D189" s="7"/>
      <c r="E189" s="67"/>
      <c r="F189" s="7"/>
      <c r="G189" s="7"/>
      <c r="H189" s="7"/>
      <c r="I189" s="7"/>
      <c r="J189" s="7"/>
      <c r="K189" s="7"/>
    </row>
    <row r="190" spans="1:11" ht="15.75" customHeight="1">
      <c r="A190" s="7"/>
      <c r="B190" s="11"/>
      <c r="C190" s="11"/>
      <c r="D190" s="7"/>
      <c r="E190" s="67"/>
      <c r="F190" s="7"/>
      <c r="G190" s="7"/>
      <c r="H190" s="7"/>
      <c r="I190" s="7"/>
      <c r="J190" s="7"/>
      <c r="K190" s="7"/>
    </row>
    <row r="191" spans="1:11" ht="15.75" customHeight="1">
      <c r="A191" s="7"/>
      <c r="B191" s="11"/>
      <c r="C191" s="11"/>
      <c r="D191" s="7"/>
      <c r="E191" s="67"/>
      <c r="F191" s="7"/>
      <c r="G191" s="7"/>
      <c r="H191" s="7"/>
      <c r="I191" s="7"/>
      <c r="J191" s="7"/>
      <c r="K191" s="7"/>
    </row>
    <row r="192" spans="1:11" ht="15.75" customHeight="1">
      <c r="A192" s="7"/>
      <c r="B192" s="11"/>
      <c r="C192" s="11"/>
      <c r="D192" s="7"/>
      <c r="E192" s="67"/>
      <c r="F192" s="7"/>
      <c r="G192" s="7"/>
      <c r="H192" s="7"/>
      <c r="I192" s="7"/>
      <c r="J192" s="7"/>
      <c r="K192" s="7"/>
    </row>
    <row r="193" spans="1:11" ht="15.75" customHeight="1">
      <c r="A193" s="7"/>
      <c r="B193" s="11"/>
      <c r="C193" s="11"/>
      <c r="D193" s="7"/>
      <c r="E193" s="67"/>
      <c r="F193" s="7"/>
      <c r="G193" s="7"/>
      <c r="H193" s="7"/>
      <c r="I193" s="7"/>
      <c r="J193" s="7"/>
      <c r="K193" s="7"/>
    </row>
    <row r="194" spans="1:11" ht="15.75" customHeight="1">
      <c r="A194" s="7"/>
      <c r="B194" s="11"/>
      <c r="C194" s="11"/>
      <c r="D194" s="7"/>
      <c r="E194" s="67"/>
      <c r="F194" s="7"/>
      <c r="G194" s="7"/>
      <c r="H194" s="7"/>
      <c r="I194" s="7"/>
      <c r="J194" s="7"/>
      <c r="K194" s="7"/>
    </row>
    <row r="195" spans="1:11" ht="15.75" customHeight="1">
      <c r="A195" s="7"/>
      <c r="B195" s="11"/>
      <c r="C195" s="11"/>
      <c r="D195" s="7"/>
      <c r="E195" s="67"/>
      <c r="F195" s="7"/>
      <c r="G195" s="7"/>
      <c r="H195" s="7"/>
      <c r="I195" s="7"/>
      <c r="J195" s="7"/>
      <c r="K195" s="7"/>
    </row>
    <row r="196" spans="1:11" ht="15.75" customHeight="1">
      <c r="A196" s="7"/>
      <c r="B196" s="11"/>
      <c r="C196" s="11"/>
      <c r="D196" s="7"/>
      <c r="E196" s="67"/>
      <c r="F196" s="7"/>
      <c r="G196" s="7"/>
      <c r="H196" s="7"/>
      <c r="I196" s="7"/>
      <c r="J196" s="7"/>
      <c r="K196" s="7"/>
    </row>
    <row r="197" spans="1:11" ht="15.75" customHeight="1">
      <c r="A197" s="7"/>
      <c r="B197" s="11"/>
      <c r="C197" s="11"/>
      <c r="D197" s="7"/>
      <c r="E197" s="67"/>
      <c r="F197" s="7"/>
      <c r="G197" s="7"/>
      <c r="H197" s="7"/>
      <c r="I197" s="7"/>
      <c r="J197" s="7"/>
      <c r="K197" s="7"/>
    </row>
    <row r="198" spans="1:11" ht="15.75" customHeight="1">
      <c r="A198" s="7"/>
      <c r="B198" s="11"/>
      <c r="C198" s="11"/>
      <c r="D198" s="7"/>
      <c r="E198" s="67"/>
      <c r="F198" s="7"/>
      <c r="G198" s="7"/>
      <c r="H198" s="7"/>
      <c r="I198" s="7"/>
      <c r="J198" s="7"/>
      <c r="K198" s="7"/>
    </row>
    <row r="199" spans="1:11" ht="15.75" customHeight="1">
      <c r="A199" s="7"/>
      <c r="B199" s="11"/>
      <c r="C199" s="11"/>
      <c r="D199" s="7"/>
      <c r="E199" s="67"/>
      <c r="F199" s="7"/>
      <c r="G199" s="7"/>
      <c r="H199" s="7"/>
      <c r="I199" s="7"/>
      <c r="J199" s="7"/>
      <c r="K199" s="7"/>
    </row>
    <row r="200" spans="1:11" ht="15.75" customHeight="1">
      <c r="A200" s="7"/>
      <c r="B200" s="11"/>
      <c r="C200" s="11"/>
      <c r="D200" s="7"/>
      <c r="E200" s="67"/>
      <c r="F200" s="7"/>
      <c r="G200" s="7"/>
      <c r="H200" s="7"/>
      <c r="I200" s="7"/>
      <c r="J200" s="7"/>
      <c r="K200" s="7"/>
    </row>
    <row r="201" spans="1:11" ht="15.75" customHeight="1">
      <c r="A201" s="7"/>
      <c r="B201" s="11"/>
      <c r="C201" s="11"/>
      <c r="D201" s="7"/>
      <c r="E201" s="67"/>
      <c r="F201" s="7"/>
      <c r="G201" s="7"/>
      <c r="H201" s="7"/>
      <c r="I201" s="7"/>
      <c r="J201" s="7"/>
      <c r="K201" s="7"/>
    </row>
    <row r="202" spans="1:11" ht="15.75" customHeight="1">
      <c r="A202" s="7"/>
      <c r="B202" s="11"/>
      <c r="C202" s="11"/>
      <c r="D202" s="7"/>
      <c r="E202" s="67"/>
      <c r="F202" s="7"/>
      <c r="G202" s="7"/>
      <c r="H202" s="7"/>
      <c r="I202" s="7"/>
      <c r="J202" s="7"/>
      <c r="K202" s="7"/>
    </row>
    <row r="203" spans="1:11" ht="15.75" customHeight="1">
      <c r="A203" s="7"/>
      <c r="B203" s="11"/>
      <c r="C203" s="11"/>
      <c r="D203" s="7"/>
      <c r="E203" s="67"/>
      <c r="F203" s="7"/>
      <c r="G203" s="7"/>
      <c r="H203" s="7"/>
      <c r="I203" s="7"/>
      <c r="J203" s="7"/>
      <c r="K203" s="7"/>
    </row>
    <row r="204" spans="1:11" ht="15.75" customHeight="1">
      <c r="A204" s="7"/>
      <c r="B204" s="11"/>
      <c r="C204" s="11"/>
      <c r="D204" s="7"/>
      <c r="E204" s="67"/>
      <c r="F204" s="7"/>
      <c r="G204" s="7"/>
      <c r="H204" s="7"/>
      <c r="I204" s="7"/>
      <c r="J204" s="7"/>
      <c r="K204" s="7"/>
    </row>
    <row r="205" spans="1:11" ht="15.75" customHeight="1">
      <c r="A205" s="7"/>
      <c r="B205" s="11"/>
      <c r="C205" s="11"/>
      <c r="D205" s="7"/>
      <c r="E205" s="67"/>
      <c r="F205" s="7"/>
      <c r="G205" s="7"/>
      <c r="H205" s="7"/>
      <c r="I205" s="7"/>
      <c r="J205" s="7"/>
      <c r="K205" s="7"/>
    </row>
    <row r="206" spans="1:11" ht="15.75" customHeight="1">
      <c r="A206" s="7"/>
      <c r="B206" s="11"/>
      <c r="C206" s="11"/>
      <c r="D206" s="7"/>
      <c r="E206" s="67"/>
      <c r="F206" s="7"/>
      <c r="G206" s="7"/>
      <c r="H206" s="7"/>
      <c r="I206" s="7"/>
      <c r="J206" s="7"/>
      <c r="K206" s="7"/>
    </row>
    <row r="207" spans="1:11" ht="15.75" customHeight="1">
      <c r="A207" s="7"/>
      <c r="B207" s="11"/>
      <c r="C207" s="11"/>
      <c r="D207" s="7"/>
      <c r="E207" s="67"/>
      <c r="F207" s="7"/>
      <c r="G207" s="7"/>
      <c r="H207" s="7"/>
      <c r="I207" s="7"/>
      <c r="J207" s="7"/>
      <c r="K207" s="7"/>
    </row>
    <row r="208" spans="1:11" ht="15.75" customHeight="1">
      <c r="A208" s="7"/>
      <c r="B208" s="11"/>
      <c r="C208" s="11"/>
      <c r="D208" s="7"/>
      <c r="E208" s="67"/>
      <c r="F208" s="7"/>
      <c r="G208" s="7"/>
      <c r="H208" s="7"/>
      <c r="I208" s="7"/>
      <c r="J208" s="7"/>
      <c r="K208" s="7"/>
    </row>
    <row r="209" spans="1:11" ht="15.75" customHeight="1">
      <c r="A209" s="7"/>
      <c r="B209" s="11"/>
      <c r="C209" s="11"/>
      <c r="D209" s="7"/>
      <c r="E209" s="67"/>
      <c r="F209" s="7"/>
      <c r="G209" s="7"/>
      <c r="H209" s="7"/>
      <c r="I209" s="7"/>
      <c r="J209" s="7"/>
      <c r="K209" s="7"/>
    </row>
    <row r="210" spans="1:11" ht="15.75" customHeight="1">
      <c r="A210" s="7"/>
      <c r="B210" s="11"/>
      <c r="C210" s="11"/>
      <c r="D210" s="7"/>
      <c r="E210" s="67"/>
      <c r="F210" s="7"/>
      <c r="G210" s="7"/>
      <c r="H210" s="7"/>
      <c r="I210" s="7"/>
      <c r="J210" s="7"/>
      <c r="K210" s="7"/>
    </row>
    <row r="211" spans="1:11" ht="15.75" customHeight="1">
      <c r="A211" s="7"/>
      <c r="B211" s="11"/>
      <c r="C211" s="11"/>
      <c r="D211" s="7"/>
      <c r="E211" s="67"/>
      <c r="F211" s="7"/>
      <c r="G211" s="7"/>
      <c r="H211" s="7"/>
      <c r="I211" s="7"/>
      <c r="J211" s="7"/>
      <c r="K211" s="7"/>
    </row>
    <row r="212" spans="1:11" ht="15.75" customHeight="1">
      <c r="A212" s="7"/>
      <c r="B212" s="11"/>
      <c r="C212" s="11"/>
      <c r="D212" s="7"/>
      <c r="E212" s="67"/>
      <c r="F212" s="7"/>
      <c r="G212" s="7"/>
      <c r="H212" s="7"/>
      <c r="I212" s="7"/>
      <c r="J212" s="7"/>
      <c r="K212" s="7"/>
    </row>
    <row r="213" spans="1:11" ht="15.75" customHeight="1">
      <c r="A213" s="7"/>
      <c r="B213" s="11"/>
      <c r="C213" s="11"/>
      <c r="D213" s="7"/>
      <c r="E213" s="67"/>
      <c r="F213" s="7"/>
      <c r="G213" s="7"/>
      <c r="H213" s="7"/>
      <c r="I213" s="7"/>
      <c r="J213" s="7"/>
      <c r="K213" s="7"/>
    </row>
    <row r="214" spans="1:11" ht="15.75" customHeight="1">
      <c r="A214" s="7"/>
      <c r="B214" s="11"/>
      <c r="C214" s="11"/>
      <c r="D214" s="7"/>
      <c r="E214" s="67"/>
      <c r="F214" s="7"/>
      <c r="G214" s="7"/>
      <c r="H214" s="7"/>
      <c r="I214" s="7"/>
      <c r="J214" s="7"/>
      <c r="K214" s="7"/>
    </row>
    <row r="215" spans="1:11" ht="15.75" customHeight="1">
      <c r="A215" s="7"/>
      <c r="B215" s="11"/>
      <c r="C215" s="11"/>
      <c r="D215" s="7"/>
      <c r="E215" s="67"/>
      <c r="F215" s="7"/>
      <c r="G215" s="7"/>
      <c r="H215" s="7"/>
      <c r="I215" s="7"/>
      <c r="J215" s="7"/>
      <c r="K215" s="7"/>
    </row>
    <row r="216" spans="1:11" ht="15.75" customHeight="1">
      <c r="A216" s="7"/>
      <c r="B216" s="11"/>
      <c r="C216" s="11"/>
      <c r="D216" s="7"/>
      <c r="E216" s="67"/>
      <c r="F216" s="7"/>
      <c r="G216" s="7"/>
      <c r="H216" s="7"/>
      <c r="I216" s="7"/>
      <c r="J216" s="7"/>
      <c r="K216" s="7"/>
    </row>
    <row r="217" spans="1:11" ht="15.75" customHeight="1">
      <c r="A217" s="7"/>
      <c r="B217" s="11"/>
      <c r="C217" s="11"/>
      <c r="D217" s="7"/>
      <c r="E217" s="67"/>
      <c r="F217" s="7"/>
      <c r="G217" s="7"/>
      <c r="H217" s="7"/>
      <c r="I217" s="7"/>
      <c r="J217" s="7"/>
      <c r="K217" s="7"/>
    </row>
    <row r="218" spans="1:11" ht="15.75" customHeight="1">
      <c r="A218" s="7"/>
      <c r="B218" s="11"/>
      <c r="C218" s="11"/>
      <c r="D218" s="7"/>
      <c r="E218" s="67"/>
      <c r="F218" s="7"/>
      <c r="G218" s="7"/>
      <c r="H218" s="7"/>
      <c r="I218" s="7"/>
      <c r="J218" s="7"/>
      <c r="K218" s="7"/>
    </row>
    <row r="219" spans="1:11" ht="15.75" customHeight="1">
      <c r="A219" s="7"/>
      <c r="B219" s="11"/>
      <c r="C219" s="11"/>
      <c r="D219" s="7"/>
      <c r="E219" s="67"/>
      <c r="F219" s="7"/>
      <c r="G219" s="7"/>
      <c r="H219" s="7"/>
      <c r="I219" s="7"/>
      <c r="J219" s="7"/>
      <c r="K219" s="7"/>
    </row>
    <row r="220" spans="1:11" ht="15.75" customHeight="1">
      <c r="A220" s="7"/>
      <c r="B220" s="11"/>
      <c r="C220" s="11"/>
      <c r="D220" s="7"/>
      <c r="E220" s="67"/>
      <c r="F220" s="7"/>
      <c r="G220" s="7"/>
      <c r="H220" s="7"/>
      <c r="I220" s="7"/>
      <c r="J220" s="7"/>
      <c r="K220" s="7"/>
    </row>
    <row r="221" spans="1:11" ht="15.75" customHeight="1">
      <c r="A221" s="7"/>
      <c r="B221" s="11"/>
      <c r="C221" s="11"/>
      <c r="D221" s="7"/>
      <c r="E221" s="67"/>
      <c r="F221" s="7"/>
      <c r="G221" s="7"/>
      <c r="H221" s="7"/>
      <c r="I221" s="7"/>
      <c r="J221" s="7"/>
      <c r="K221" s="7"/>
    </row>
    <row r="222" spans="1:11" ht="15.75" customHeight="1">
      <c r="A222" s="7"/>
      <c r="B222" s="11"/>
      <c r="C222" s="11"/>
      <c r="D222" s="7"/>
      <c r="E222" s="67"/>
      <c r="F222" s="7"/>
      <c r="G222" s="7"/>
      <c r="H222" s="7"/>
      <c r="I222" s="7"/>
      <c r="J222" s="7"/>
      <c r="K222" s="7"/>
    </row>
    <row r="223" spans="1:11" ht="15.75" customHeight="1">
      <c r="A223" s="7"/>
      <c r="B223" s="11"/>
      <c r="C223" s="11"/>
      <c r="D223" s="7"/>
      <c r="E223" s="67"/>
      <c r="F223" s="7"/>
      <c r="G223" s="7"/>
      <c r="H223" s="7"/>
      <c r="I223" s="7"/>
      <c r="J223" s="7"/>
      <c r="K223" s="7"/>
    </row>
    <row r="224" spans="1:11" ht="15.75" customHeight="1">
      <c r="A224" s="7"/>
      <c r="B224" s="11"/>
      <c r="C224" s="11"/>
      <c r="D224" s="7"/>
      <c r="E224" s="67"/>
      <c r="F224" s="7"/>
      <c r="G224" s="7"/>
      <c r="H224" s="7"/>
      <c r="I224" s="7"/>
      <c r="J224" s="7"/>
      <c r="K224" s="7"/>
    </row>
    <row r="225" spans="1:11" ht="15.75" customHeight="1">
      <c r="A225" s="7"/>
      <c r="B225" s="11"/>
      <c r="C225" s="11"/>
      <c r="D225" s="7"/>
      <c r="E225" s="67"/>
      <c r="F225" s="7"/>
      <c r="G225" s="7"/>
      <c r="H225" s="7"/>
      <c r="I225" s="7"/>
      <c r="J225" s="7"/>
      <c r="K225" s="7"/>
    </row>
    <row r="226" spans="1:11" ht="15.75" customHeight="1">
      <c r="A226" s="7"/>
      <c r="B226" s="11"/>
      <c r="C226" s="11"/>
      <c r="D226" s="7"/>
      <c r="E226" s="67"/>
      <c r="F226" s="7"/>
      <c r="G226" s="7"/>
      <c r="H226" s="7"/>
      <c r="I226" s="7"/>
      <c r="J226" s="7"/>
      <c r="K226" s="7"/>
    </row>
    <row r="227" spans="1:11" ht="15.75" customHeight="1">
      <c r="A227" s="7"/>
      <c r="B227" s="11"/>
      <c r="C227" s="11"/>
      <c r="D227" s="7"/>
      <c r="E227" s="67"/>
      <c r="F227" s="7"/>
      <c r="G227" s="7"/>
      <c r="H227" s="7"/>
      <c r="I227" s="7"/>
      <c r="J227" s="7"/>
      <c r="K227" s="7"/>
    </row>
    <row r="228" spans="1:11" ht="15.75" customHeight="1">
      <c r="A228" s="7"/>
      <c r="B228" s="11"/>
      <c r="C228" s="11"/>
      <c r="D228" s="7"/>
      <c r="E228" s="67"/>
      <c r="F228" s="7"/>
      <c r="G228" s="7"/>
      <c r="H228" s="7"/>
      <c r="I228" s="7"/>
      <c r="J228" s="7"/>
      <c r="K228" s="7"/>
    </row>
    <row r="229" spans="1:11" ht="15.75" customHeight="1">
      <c r="A229" s="7"/>
      <c r="B229" s="11"/>
      <c r="C229" s="11"/>
      <c r="D229" s="7"/>
      <c r="E229" s="67"/>
      <c r="F229" s="7"/>
      <c r="G229" s="7"/>
      <c r="H229" s="7"/>
      <c r="I229" s="7"/>
      <c r="J229" s="7"/>
      <c r="K229" s="7"/>
    </row>
    <row r="230" spans="1:11" ht="15.75" customHeight="1">
      <c r="A230" s="7"/>
      <c r="B230" s="11"/>
      <c r="C230" s="11"/>
      <c r="D230" s="7"/>
      <c r="E230" s="67"/>
      <c r="F230" s="7"/>
      <c r="G230" s="7"/>
      <c r="H230" s="7"/>
      <c r="I230" s="7"/>
      <c r="J230" s="7"/>
      <c r="K230" s="7"/>
    </row>
    <row r="231" spans="1:11" ht="15.75" customHeight="1">
      <c r="A231" s="7"/>
      <c r="B231" s="11"/>
      <c r="C231" s="11"/>
      <c r="D231" s="7"/>
      <c r="E231" s="67"/>
      <c r="F231" s="7"/>
      <c r="G231" s="7"/>
      <c r="H231" s="7"/>
      <c r="I231" s="7"/>
      <c r="J231" s="7"/>
      <c r="K231" s="7"/>
    </row>
    <row r="232" spans="1:11" ht="15.75" customHeight="1">
      <c r="A232" s="7"/>
      <c r="B232" s="11"/>
      <c r="C232" s="11"/>
      <c r="D232" s="7"/>
      <c r="E232" s="67"/>
      <c r="F232" s="7"/>
      <c r="G232" s="7"/>
      <c r="H232" s="7"/>
      <c r="I232" s="7"/>
      <c r="J232" s="7"/>
      <c r="K232" s="7"/>
    </row>
    <row r="233" spans="1:11" ht="15.75" customHeight="1">
      <c r="A233" s="7"/>
      <c r="B233" s="11"/>
      <c r="C233" s="11"/>
      <c r="D233" s="7"/>
      <c r="E233" s="67"/>
      <c r="F233" s="7"/>
      <c r="G233" s="7"/>
      <c r="H233" s="7"/>
      <c r="I233" s="7"/>
      <c r="J233" s="7"/>
      <c r="K233" s="7"/>
    </row>
    <row r="234" spans="1:11" ht="15.75" customHeight="1">
      <c r="A234" s="7"/>
      <c r="B234" s="11"/>
      <c r="C234" s="11"/>
      <c r="D234" s="7"/>
      <c r="E234" s="67"/>
      <c r="F234" s="7"/>
      <c r="G234" s="7"/>
      <c r="H234" s="7"/>
      <c r="I234" s="7"/>
      <c r="J234" s="7"/>
      <c r="K234" s="7"/>
    </row>
    <row r="235" spans="1:11" ht="15.75" customHeight="1">
      <c r="A235" s="7"/>
      <c r="B235" s="11"/>
      <c r="C235" s="11"/>
      <c r="D235" s="7"/>
      <c r="E235" s="67"/>
      <c r="F235" s="7"/>
      <c r="G235" s="7"/>
      <c r="H235" s="7"/>
      <c r="I235" s="7"/>
      <c r="J235" s="7"/>
      <c r="K235" s="7"/>
    </row>
    <row r="236" spans="1:11" ht="15.75" customHeight="1">
      <c r="A236" s="7"/>
      <c r="B236" s="11"/>
      <c r="C236" s="11"/>
      <c r="D236" s="7"/>
      <c r="E236" s="67"/>
      <c r="F236" s="7"/>
      <c r="G236" s="7"/>
      <c r="H236" s="7"/>
      <c r="I236" s="7"/>
      <c r="J236" s="7"/>
      <c r="K236" s="7"/>
    </row>
    <row r="237" spans="1:11" ht="15.75" customHeight="1">
      <c r="A237" s="7"/>
      <c r="B237" s="11"/>
      <c r="C237" s="11"/>
      <c r="D237" s="7"/>
      <c r="E237" s="67"/>
      <c r="F237" s="7"/>
      <c r="G237" s="7"/>
      <c r="H237" s="7"/>
      <c r="I237" s="7"/>
      <c r="J237" s="7"/>
      <c r="K237" s="7"/>
    </row>
    <row r="238" spans="1:11" ht="15.75" customHeight="1">
      <c r="A238" s="7"/>
      <c r="B238" s="11"/>
      <c r="C238" s="11"/>
      <c r="D238" s="7"/>
      <c r="E238" s="67"/>
      <c r="F238" s="7"/>
      <c r="G238" s="7"/>
      <c r="H238" s="7"/>
      <c r="I238" s="7"/>
      <c r="J238" s="7"/>
      <c r="K238" s="7"/>
    </row>
    <row r="239" spans="1:11" ht="15.75" customHeight="1"/>
    <row r="240" spans="1:11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5">
    <mergeCell ref="E23:J23"/>
    <mergeCell ref="E25:H25"/>
    <mergeCell ref="E33:H33"/>
    <mergeCell ref="E34:J34"/>
    <mergeCell ref="F35:G35"/>
  </mergeCells>
  <hyperlinks>
    <hyperlink ref="D3" r:id="rId1" xr:uid="{00000000-0004-0000-0000-000000000000}"/>
    <hyperlink ref="E3" r:id="rId2" xr:uid="{00000000-0004-0000-0000-000001000000}"/>
    <hyperlink ref="E4" r:id="rId3" xr:uid="{00000000-0004-0000-0000-000002000000}"/>
    <hyperlink ref="E5" r:id="rId4" xr:uid="{00000000-0004-0000-0000-000003000000}"/>
    <hyperlink ref="E6" r:id="rId5" xr:uid="{00000000-0004-0000-0000-000004000000}"/>
    <hyperlink ref="E7" r:id="rId6" xr:uid="{00000000-0004-0000-0000-000005000000}"/>
    <hyperlink ref="E9" r:id="rId7" xr:uid="{00000000-0004-0000-0000-000006000000}"/>
    <hyperlink ref="E10" r:id="rId8" xr:uid="{00000000-0004-0000-0000-000007000000}"/>
    <hyperlink ref="E11" r:id="rId9" xr:uid="{00000000-0004-0000-0000-000008000000}"/>
    <hyperlink ref="E12" r:id="rId10" xr:uid="{00000000-0004-0000-0000-000009000000}"/>
    <hyperlink ref="E13" r:id="rId11" xr:uid="{00000000-0004-0000-0000-00000A000000}"/>
    <hyperlink ref="E14" r:id="rId12" xr:uid="{00000000-0004-0000-0000-00000B000000}"/>
    <hyperlink ref="E15" r:id="rId13" xr:uid="{00000000-0004-0000-0000-00000C000000}"/>
    <hyperlink ref="E17" r:id="rId14" xr:uid="{00000000-0004-0000-0000-00000D000000}"/>
    <hyperlink ref="E18" r:id="rId15" xr:uid="{00000000-0004-0000-0000-00000E000000}"/>
    <hyperlink ref="D20" r:id="rId16" xr:uid="{00000000-0004-0000-0000-00000F000000}"/>
    <hyperlink ref="E20" r:id="rId17" xr:uid="{00000000-0004-0000-0000-000010000000}"/>
    <hyperlink ref="E22" r:id="rId18" xr:uid="{00000000-0004-0000-0000-000011000000}"/>
    <hyperlink ref="E23" r:id="rId19" xr:uid="{00000000-0004-0000-0000-000012000000}"/>
    <hyperlink ref="D24" r:id="rId20" xr:uid="{00000000-0004-0000-0000-000013000000}"/>
    <hyperlink ref="E24" r:id="rId21" xr:uid="{00000000-0004-0000-0000-000014000000}"/>
    <hyperlink ref="E25" r:id="rId22" xr:uid="{00000000-0004-0000-0000-000015000000}"/>
    <hyperlink ref="E26" r:id="rId23" xr:uid="{00000000-0004-0000-0000-000016000000}"/>
    <hyperlink ref="E27" r:id="rId24" xr:uid="{00000000-0004-0000-0000-000017000000}"/>
    <hyperlink ref="E28" r:id="rId25" xr:uid="{00000000-0004-0000-0000-000018000000}"/>
    <hyperlink ref="E29" r:id="rId26" xr:uid="{00000000-0004-0000-0000-000019000000}"/>
    <hyperlink ref="E31" r:id="rId27" xr:uid="{00000000-0004-0000-0000-00001A000000}"/>
    <hyperlink ref="D32" r:id="rId28" xr:uid="{00000000-0004-0000-0000-00001B000000}"/>
    <hyperlink ref="E32" r:id="rId29" xr:uid="{00000000-0004-0000-0000-00001C000000}"/>
    <hyperlink ref="E33" r:id="rId30" xr:uid="{00000000-0004-0000-0000-00001D000000}"/>
    <hyperlink ref="E34" r:id="rId31" xr:uid="{00000000-0004-0000-0000-00001E000000}"/>
    <hyperlink ref="E35" r:id="rId32" xr:uid="{00000000-0004-0000-0000-00001F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1001"/>
  <sheetViews>
    <sheetView workbookViewId="0">
      <pane xSplit="1" topLeftCell="B1" activePane="topRight" state="frozen"/>
      <selection pane="topRight" activeCell="D23" sqref="D23"/>
    </sheetView>
  </sheetViews>
  <sheetFormatPr baseColWidth="10" defaultColWidth="12.6640625" defaultRowHeight="15" customHeight="1"/>
  <cols>
    <col min="1" max="1" width="50" customWidth="1"/>
    <col min="2" max="2" width="4.33203125" customWidth="1"/>
    <col min="3" max="3" width="20.6640625" customWidth="1"/>
    <col min="4" max="4" width="356.83203125" customWidth="1"/>
    <col min="5" max="6" width="12.6640625" customWidth="1"/>
  </cols>
  <sheetData>
    <row r="1" spans="1:10" ht="15.75" customHeight="1">
      <c r="A1" s="2"/>
      <c r="B1" s="3" t="s">
        <v>2</v>
      </c>
      <c r="C1" s="2" t="s">
        <v>4</v>
      </c>
      <c r="D1" s="5" t="s">
        <v>5</v>
      </c>
      <c r="E1" s="7"/>
      <c r="F1" s="7"/>
      <c r="G1" s="7"/>
      <c r="H1" s="7"/>
      <c r="I1" s="7"/>
      <c r="J1" s="7"/>
    </row>
    <row r="2" spans="1:10" ht="15.75" customHeight="1">
      <c r="A2" s="9" t="s">
        <v>7</v>
      </c>
      <c r="B2" s="10"/>
      <c r="C2" s="10"/>
      <c r="D2" s="10"/>
      <c r="E2" s="7"/>
      <c r="F2" s="7"/>
      <c r="G2" s="7"/>
      <c r="H2" s="7"/>
      <c r="I2" s="7"/>
      <c r="J2" s="7"/>
    </row>
    <row r="3" spans="1:10" ht="15.75" customHeight="1">
      <c r="A3" s="7" t="s">
        <v>9</v>
      </c>
      <c r="B3" s="11">
        <v>1</v>
      </c>
      <c r="C3" s="7"/>
      <c r="D3" s="13" t="s">
        <v>11</v>
      </c>
      <c r="E3" s="7"/>
      <c r="F3" s="7"/>
      <c r="G3" s="7"/>
      <c r="H3" s="7"/>
      <c r="I3" s="7"/>
      <c r="J3" s="7"/>
    </row>
    <row r="4" spans="1:10" ht="15.75" customHeight="1">
      <c r="A4" s="7" t="s">
        <v>12</v>
      </c>
      <c r="B4" s="11">
        <v>1</v>
      </c>
      <c r="C4" s="7"/>
      <c r="D4" s="13" t="s">
        <v>11</v>
      </c>
      <c r="E4" s="7"/>
      <c r="F4" s="7"/>
      <c r="G4" s="7"/>
      <c r="H4" s="7"/>
      <c r="I4" s="7"/>
      <c r="J4" s="7"/>
    </row>
    <row r="5" spans="1:10" ht="15.75" customHeight="1">
      <c r="A5" s="7" t="s">
        <v>14</v>
      </c>
      <c r="B5" s="11">
        <v>1</v>
      </c>
      <c r="C5" s="7"/>
      <c r="D5" s="13" t="s">
        <v>11</v>
      </c>
      <c r="E5" s="7"/>
      <c r="F5" s="7"/>
      <c r="G5" s="7"/>
      <c r="H5" s="7"/>
      <c r="I5" s="7"/>
      <c r="J5" s="7"/>
    </row>
    <row r="6" spans="1:10" ht="15.75" customHeight="1">
      <c r="A6" s="7" t="s">
        <v>15</v>
      </c>
      <c r="B6" s="11">
        <v>0</v>
      </c>
      <c r="C6" s="7"/>
      <c r="D6" s="116" t="s">
        <v>17</v>
      </c>
      <c r="E6" s="112"/>
      <c r="F6" s="112"/>
      <c r="G6" s="112"/>
      <c r="H6" s="112"/>
      <c r="I6" s="112"/>
      <c r="J6" s="7"/>
    </row>
    <row r="7" spans="1:10" ht="15.75" customHeight="1">
      <c r="A7" s="7" t="s">
        <v>35</v>
      </c>
      <c r="B7" s="11">
        <v>1</v>
      </c>
      <c r="C7" s="7"/>
      <c r="D7" s="19" t="s">
        <v>36</v>
      </c>
      <c r="E7" s="7"/>
      <c r="F7" s="7"/>
      <c r="G7" s="7"/>
      <c r="H7" s="7"/>
      <c r="I7" s="7"/>
      <c r="J7" s="7"/>
    </row>
    <row r="8" spans="1:10" ht="15.75" customHeight="1">
      <c r="A8" s="21" t="s">
        <v>40</v>
      </c>
      <c r="B8" s="11">
        <v>1</v>
      </c>
      <c r="C8" s="7" t="s">
        <v>41</v>
      </c>
      <c r="D8" s="19" t="s">
        <v>42</v>
      </c>
      <c r="E8" s="7"/>
      <c r="F8" s="7"/>
      <c r="G8" s="7"/>
      <c r="H8" s="7"/>
      <c r="I8" s="7"/>
      <c r="J8" s="7"/>
    </row>
    <row r="9" spans="1:10" ht="15.75" customHeight="1">
      <c r="B9" s="11"/>
      <c r="C9" s="7"/>
      <c r="D9" s="13"/>
      <c r="E9" s="7"/>
      <c r="F9" s="7"/>
      <c r="G9" s="7"/>
      <c r="H9" s="7"/>
      <c r="I9" s="7"/>
      <c r="J9" s="7"/>
    </row>
    <row r="10" spans="1:10" ht="15.75" customHeight="1">
      <c r="A10" s="7" t="s">
        <v>53</v>
      </c>
      <c r="B10" s="11">
        <v>1</v>
      </c>
      <c r="C10" s="7"/>
      <c r="D10" s="13"/>
      <c r="E10" s="7"/>
      <c r="F10" s="7"/>
      <c r="G10" s="7"/>
      <c r="H10" s="7"/>
      <c r="I10" s="7"/>
      <c r="J10" s="7"/>
    </row>
    <row r="11" spans="1:10" ht="15.75" customHeight="1">
      <c r="A11" s="7" t="s">
        <v>56</v>
      </c>
      <c r="B11" s="11">
        <v>1</v>
      </c>
      <c r="C11" s="7" t="s">
        <v>57</v>
      </c>
      <c r="D11" s="13"/>
      <c r="E11" s="7"/>
      <c r="F11" s="7"/>
      <c r="G11" s="7"/>
      <c r="H11" s="7"/>
      <c r="I11" s="7"/>
      <c r="J11" s="7"/>
    </row>
    <row r="12" spans="1:10" ht="15.75" customHeight="1">
      <c r="A12" s="23" t="s">
        <v>62</v>
      </c>
      <c r="B12" s="28"/>
      <c r="C12" s="23"/>
      <c r="D12" s="23"/>
      <c r="E12" s="16"/>
      <c r="F12" s="7"/>
      <c r="G12" s="7"/>
      <c r="H12" s="7"/>
      <c r="I12" s="7"/>
      <c r="J12" s="7"/>
    </row>
    <row r="13" spans="1:10" ht="15.75" customHeight="1">
      <c r="A13" s="7" t="s">
        <v>66</v>
      </c>
      <c r="B13" s="3" t="s">
        <v>69</v>
      </c>
      <c r="C13" s="5"/>
      <c r="D13" s="30" t="s">
        <v>71</v>
      </c>
      <c r="E13" s="16"/>
      <c r="F13" s="7"/>
      <c r="G13" s="7"/>
      <c r="H13" s="7"/>
      <c r="I13" s="7"/>
      <c r="J13" s="7"/>
    </row>
    <row r="14" spans="1:10" ht="15.75" customHeight="1">
      <c r="A14" s="13" t="s">
        <v>76</v>
      </c>
      <c r="B14" s="3" t="s">
        <v>69</v>
      </c>
      <c r="C14" s="5"/>
      <c r="D14" s="32" t="s">
        <v>80</v>
      </c>
      <c r="E14" s="16"/>
      <c r="F14" s="7"/>
      <c r="G14" s="7"/>
      <c r="H14" s="7"/>
      <c r="I14" s="7"/>
      <c r="J14" s="7"/>
    </row>
    <row r="15" spans="1:10" ht="15.75" customHeight="1">
      <c r="A15" s="13" t="s">
        <v>86</v>
      </c>
      <c r="B15" s="3" t="s">
        <v>69</v>
      </c>
      <c r="C15" s="5"/>
      <c r="D15" s="36" t="s">
        <v>89</v>
      </c>
      <c r="E15" s="16"/>
      <c r="F15" s="7"/>
      <c r="G15" s="7"/>
      <c r="H15" s="7"/>
      <c r="I15" s="7"/>
      <c r="J15" s="7"/>
    </row>
    <row r="16" spans="1:10" ht="15.75" customHeight="1">
      <c r="A16" s="13" t="s">
        <v>93</v>
      </c>
      <c r="B16" s="3">
        <v>1</v>
      </c>
      <c r="C16" s="39" t="s">
        <v>96</v>
      </c>
      <c r="D16" s="41" t="s">
        <v>99</v>
      </c>
      <c r="E16" s="16"/>
      <c r="F16" s="7"/>
      <c r="G16" s="7"/>
      <c r="H16" s="7"/>
      <c r="I16" s="7"/>
      <c r="J16" s="7"/>
    </row>
    <row r="17" spans="1:24" ht="15.75" customHeight="1">
      <c r="A17" s="23" t="s">
        <v>105</v>
      </c>
      <c r="B17" s="28"/>
      <c r="C17" s="23"/>
      <c r="D17" s="23"/>
      <c r="E17" s="16"/>
      <c r="F17" s="7"/>
      <c r="G17" s="7"/>
      <c r="H17" s="7"/>
      <c r="I17" s="7"/>
      <c r="J17" s="7"/>
    </row>
    <row r="18" spans="1:24" ht="15.75" customHeight="1">
      <c r="A18" s="7" t="s">
        <v>106</v>
      </c>
      <c r="B18" s="11">
        <v>1</v>
      </c>
      <c r="C18" s="7"/>
      <c r="D18" s="13"/>
      <c r="E18" s="7"/>
      <c r="F18" s="7"/>
      <c r="G18" s="7"/>
      <c r="H18" s="7"/>
      <c r="I18" s="7"/>
      <c r="J18" s="7"/>
    </row>
    <row r="19" spans="1:24" ht="15.75" customHeight="1">
      <c r="A19" s="7" t="s">
        <v>111</v>
      </c>
      <c r="B19" s="11">
        <v>1</v>
      </c>
      <c r="C19" s="7"/>
      <c r="D19" s="13"/>
      <c r="E19" s="7"/>
      <c r="F19" s="7"/>
      <c r="G19" s="7"/>
      <c r="H19" s="7"/>
      <c r="I19" s="7"/>
      <c r="J19" s="7"/>
    </row>
    <row r="20" spans="1:24" ht="15.75" customHeight="1">
      <c r="A20" s="7" t="s">
        <v>112</v>
      </c>
      <c r="B20" s="11">
        <v>1</v>
      </c>
      <c r="C20" s="7"/>
      <c r="D20" s="116" t="s">
        <v>113</v>
      </c>
      <c r="E20" s="112"/>
      <c r="F20" s="112"/>
      <c r="G20" s="112"/>
      <c r="H20" s="112"/>
      <c r="I20" s="112"/>
      <c r="J20" s="112"/>
    </row>
    <row r="21" spans="1:24" ht="15.75" customHeight="1">
      <c r="A21" s="7" t="s">
        <v>119</v>
      </c>
      <c r="B21" s="11">
        <v>1</v>
      </c>
      <c r="C21" s="7"/>
      <c r="D21" s="116" t="s">
        <v>120</v>
      </c>
      <c r="E21" s="112"/>
      <c r="F21" s="112"/>
      <c r="G21" s="112"/>
      <c r="H21" s="112"/>
      <c r="I21" s="112"/>
      <c r="J21" s="112"/>
    </row>
    <row r="22" spans="1:24" ht="15.75" customHeight="1">
      <c r="A22" s="44" t="s">
        <v>126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  <row r="23" spans="1:24" ht="15.75" customHeight="1">
      <c r="A23" s="45" t="s">
        <v>128</v>
      </c>
      <c r="B23" s="45">
        <v>1</v>
      </c>
      <c r="D23" s="46" t="s">
        <v>131</v>
      </c>
    </row>
    <row r="24" spans="1:24" ht="15.75" customHeight="1"/>
    <row r="25" spans="1:24" ht="15.75" customHeight="1"/>
    <row r="26" spans="1:24" ht="15.75" customHeight="1"/>
    <row r="27" spans="1:24" ht="15.75" customHeight="1"/>
    <row r="28" spans="1:24" ht="15.75" customHeight="1">
      <c r="D28" s="47"/>
    </row>
    <row r="29" spans="1:24" ht="15.75" customHeight="1">
      <c r="D29" s="47"/>
    </row>
    <row r="30" spans="1:24" ht="15.75" customHeight="1"/>
    <row r="31" spans="1:24" ht="15.75" customHeight="1">
      <c r="D31" s="47"/>
    </row>
    <row r="32" spans="1:24" ht="15.75" customHeight="1">
      <c r="D32" s="47"/>
    </row>
    <row r="33" spans="4:4" ht="15.75" customHeight="1"/>
    <row r="34" spans="4:4" ht="15.75" customHeight="1">
      <c r="D34" s="47"/>
    </row>
    <row r="35" spans="4:4" ht="15.75" customHeight="1">
      <c r="D35" s="47"/>
    </row>
    <row r="36" spans="4:4" ht="15.75" customHeight="1"/>
    <row r="37" spans="4:4" ht="15.75" customHeight="1"/>
    <row r="38" spans="4:4" ht="15.75" customHeight="1"/>
    <row r="39" spans="4:4" ht="15.75" customHeight="1"/>
    <row r="40" spans="4:4" ht="15.75" customHeight="1"/>
    <row r="41" spans="4:4" ht="15.75" customHeight="1"/>
    <row r="42" spans="4:4" ht="15.75" customHeight="1"/>
    <row r="43" spans="4:4" ht="15.75" customHeight="1"/>
    <row r="44" spans="4:4" ht="15.75" customHeight="1"/>
    <row r="45" spans="4:4" ht="15.75" customHeight="1"/>
    <row r="46" spans="4:4" ht="15.75" customHeight="1"/>
    <row r="47" spans="4:4" ht="15.75" customHeight="1"/>
    <row r="48" spans="4: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3">
    <mergeCell ref="D6:I6"/>
    <mergeCell ref="D20:J20"/>
    <mergeCell ref="D21:J21"/>
  </mergeCells>
  <hyperlinks>
    <hyperlink ref="D6" r:id="rId1" xr:uid="{00000000-0004-0000-0100-000000000000}"/>
    <hyperlink ref="D7" r:id="rId2" xr:uid="{00000000-0004-0000-0100-000001000000}"/>
    <hyperlink ref="D8" r:id="rId3" xr:uid="{00000000-0004-0000-0100-000002000000}"/>
    <hyperlink ref="D13" r:id="rId4" xr:uid="{00000000-0004-0000-0100-000003000000}"/>
    <hyperlink ref="D14" r:id="rId5" xr:uid="{00000000-0004-0000-0100-000004000000}"/>
    <hyperlink ref="D15" r:id="rId6" xr:uid="{00000000-0004-0000-0100-000005000000}"/>
    <hyperlink ref="C16" r:id="rId7" xr:uid="{00000000-0004-0000-0100-000006000000}"/>
    <hyperlink ref="D16" r:id="rId8" location="/126-software-free_download" xr:uid="{00000000-0004-0000-0100-000007000000}"/>
    <hyperlink ref="D20" r:id="rId9" xr:uid="{00000000-0004-0000-0100-000008000000}"/>
    <hyperlink ref="D21" r:id="rId10" xr:uid="{00000000-0004-0000-0100-000009000000}"/>
    <hyperlink ref="D23" r:id="rId11" xr:uid="{00000000-0004-0000-0100-00000A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1000"/>
  <sheetViews>
    <sheetView workbookViewId="0"/>
  </sheetViews>
  <sheetFormatPr baseColWidth="10" defaultColWidth="12.6640625" defaultRowHeight="15" customHeight="1"/>
  <cols>
    <col min="1" max="1" width="19.1640625" customWidth="1"/>
    <col min="2" max="2" width="5.83203125" customWidth="1"/>
    <col min="3" max="6" width="12.6640625" customWidth="1"/>
  </cols>
  <sheetData>
    <row r="1" spans="1:6" ht="15.75" customHeight="1">
      <c r="A1" s="2" t="s">
        <v>18</v>
      </c>
      <c r="B1" s="3" t="s">
        <v>2</v>
      </c>
      <c r="C1" s="17"/>
      <c r="D1" s="17"/>
      <c r="E1" s="17"/>
      <c r="F1" s="17"/>
    </row>
    <row r="2" spans="1:6" ht="15.75" customHeight="1">
      <c r="A2" s="7" t="s">
        <v>22</v>
      </c>
      <c r="B2" s="11">
        <v>2</v>
      </c>
      <c r="C2" s="17"/>
      <c r="D2" s="17"/>
      <c r="E2" s="17"/>
      <c r="F2" s="17"/>
    </row>
    <row r="3" spans="1:6" ht="15.75" customHeight="1">
      <c r="A3" s="7" t="s">
        <v>24</v>
      </c>
      <c r="B3" s="11">
        <v>2</v>
      </c>
      <c r="C3" s="17"/>
      <c r="D3" s="17"/>
      <c r="E3" s="17"/>
      <c r="F3" s="17"/>
    </row>
    <row r="4" spans="1:6" ht="15.75" customHeight="1">
      <c r="A4" s="7"/>
      <c r="B4" s="11"/>
      <c r="C4" s="17"/>
      <c r="D4" s="17"/>
      <c r="E4" s="17"/>
      <c r="F4" s="17"/>
    </row>
    <row r="5" spans="1:6" ht="15.75" customHeight="1">
      <c r="A5" s="2" t="s">
        <v>31</v>
      </c>
      <c r="B5" s="11"/>
      <c r="C5" s="17"/>
      <c r="D5" s="17"/>
      <c r="E5" s="17"/>
      <c r="F5" s="17"/>
    </row>
    <row r="6" spans="1:6" ht="15.75" customHeight="1">
      <c r="A6" s="7" t="s">
        <v>33</v>
      </c>
      <c r="B6" s="11">
        <v>2</v>
      </c>
      <c r="C6" s="17"/>
      <c r="D6" s="17"/>
      <c r="E6" s="17"/>
      <c r="F6" s="17"/>
    </row>
    <row r="7" spans="1:6" ht="15.75" customHeight="1">
      <c r="A7" s="7"/>
      <c r="B7" s="11"/>
      <c r="C7" s="17"/>
      <c r="D7" s="17"/>
      <c r="E7" s="17"/>
      <c r="F7" s="17"/>
    </row>
    <row r="8" spans="1:6" ht="15.75" customHeight="1">
      <c r="A8" s="2" t="s">
        <v>43</v>
      </c>
      <c r="B8" s="11"/>
      <c r="C8" s="17"/>
      <c r="D8" s="17"/>
      <c r="E8" s="17"/>
      <c r="F8" s="17"/>
    </row>
    <row r="9" spans="1:6" ht="15.75" customHeight="1">
      <c r="A9" s="7" t="s">
        <v>44</v>
      </c>
      <c r="B9" s="11">
        <v>4</v>
      </c>
      <c r="C9" s="17"/>
      <c r="D9" s="17"/>
      <c r="E9" s="17"/>
      <c r="F9" s="17"/>
    </row>
    <row r="10" spans="1:6" ht="15.75" customHeight="1">
      <c r="A10" s="7" t="s">
        <v>24</v>
      </c>
      <c r="B10" s="11">
        <v>4</v>
      </c>
      <c r="C10" s="17"/>
      <c r="D10" s="17"/>
      <c r="E10" s="17"/>
      <c r="F10" s="17"/>
    </row>
    <row r="11" spans="1:6" ht="15.75" customHeight="1">
      <c r="A11" s="7"/>
      <c r="B11" s="11"/>
      <c r="C11" s="17"/>
      <c r="D11" s="17"/>
      <c r="E11" s="17"/>
      <c r="F11" s="17"/>
    </row>
    <row r="12" spans="1:6" ht="15.75" customHeight="1">
      <c r="A12" s="2" t="s">
        <v>49</v>
      </c>
      <c r="B12" s="11"/>
      <c r="C12" s="17"/>
      <c r="D12" s="17"/>
      <c r="E12" s="17"/>
      <c r="F12" s="17"/>
    </row>
    <row r="13" spans="1:6" ht="15.75" customHeight="1">
      <c r="A13" s="7" t="s">
        <v>24</v>
      </c>
      <c r="B13" s="11">
        <v>4</v>
      </c>
      <c r="C13" s="17"/>
      <c r="D13" s="17"/>
      <c r="E13" s="17"/>
      <c r="F13" s="17"/>
    </row>
    <row r="14" spans="1:6" ht="15.75" customHeight="1">
      <c r="A14" s="7"/>
      <c r="B14" s="11"/>
      <c r="C14" s="17"/>
      <c r="D14" s="17"/>
      <c r="E14" s="17"/>
      <c r="F14" s="17"/>
    </row>
    <row r="15" spans="1:6" ht="15.75" customHeight="1">
      <c r="A15" s="2" t="s">
        <v>55</v>
      </c>
      <c r="B15" s="11"/>
      <c r="C15" s="17"/>
      <c r="D15" s="17"/>
      <c r="E15" s="17"/>
      <c r="F15" s="17"/>
    </row>
    <row r="16" spans="1:6" ht="15.75" customHeight="1">
      <c r="A16" s="7" t="s">
        <v>58</v>
      </c>
      <c r="B16" s="11">
        <v>4</v>
      </c>
      <c r="C16" s="17"/>
      <c r="D16" s="17"/>
      <c r="E16" s="17"/>
      <c r="F16" s="17"/>
    </row>
    <row r="17" spans="1:6" ht="15.75" customHeight="1">
      <c r="A17" s="7" t="s">
        <v>24</v>
      </c>
      <c r="B17" s="11">
        <v>8</v>
      </c>
      <c r="C17" s="17"/>
      <c r="D17" s="17"/>
      <c r="E17" s="17"/>
      <c r="F17" s="17"/>
    </row>
    <row r="18" spans="1:6" ht="15.75" customHeight="1">
      <c r="A18" s="7" t="s">
        <v>63</v>
      </c>
      <c r="B18" s="11">
        <v>2</v>
      </c>
      <c r="C18" s="17"/>
      <c r="D18" s="17"/>
      <c r="E18" s="17"/>
      <c r="F18" s="17"/>
    </row>
    <row r="19" spans="1:6" ht="15.75" customHeight="1">
      <c r="A19" s="7" t="s">
        <v>24</v>
      </c>
      <c r="B19" s="11">
        <v>2</v>
      </c>
      <c r="C19" s="17"/>
      <c r="D19" s="17"/>
      <c r="E19" s="17"/>
      <c r="F19" s="17"/>
    </row>
    <row r="20" spans="1:6" ht="15.75" customHeight="1">
      <c r="A20" s="17"/>
      <c r="B20" s="29"/>
      <c r="C20" s="17"/>
      <c r="D20" s="17"/>
      <c r="E20" s="17"/>
      <c r="F20" s="17"/>
    </row>
    <row r="21" spans="1:6" ht="15.75" customHeight="1">
      <c r="A21" s="17"/>
      <c r="B21" s="29"/>
      <c r="C21" s="17"/>
      <c r="D21" s="17"/>
      <c r="E21" s="17"/>
      <c r="F21" s="17"/>
    </row>
    <row r="22" spans="1:6" ht="15.75" customHeight="1">
      <c r="A22" s="17"/>
      <c r="B22" s="29"/>
      <c r="C22" s="17"/>
      <c r="D22" s="17"/>
      <c r="E22" s="17"/>
      <c r="F22" s="17"/>
    </row>
    <row r="23" spans="1:6" ht="15.75" customHeight="1">
      <c r="A23" s="17"/>
      <c r="B23" s="29"/>
      <c r="C23" s="17"/>
      <c r="D23" s="17"/>
      <c r="E23" s="17"/>
      <c r="F23" s="17"/>
    </row>
    <row r="24" spans="1:6" ht="15.75" customHeight="1">
      <c r="A24" s="17"/>
      <c r="B24" s="29"/>
      <c r="C24" s="17"/>
      <c r="D24" s="17"/>
      <c r="E24" s="17"/>
      <c r="F24" s="17"/>
    </row>
    <row r="25" spans="1:6" ht="15.75" customHeight="1">
      <c r="A25" s="17"/>
      <c r="B25" s="29"/>
      <c r="C25" s="17"/>
      <c r="D25" s="17"/>
      <c r="E25" s="17"/>
      <c r="F25" s="17"/>
    </row>
    <row r="26" spans="1:6" ht="15.75" customHeight="1">
      <c r="B26" s="31"/>
    </row>
    <row r="27" spans="1:6" ht="15.75" customHeight="1">
      <c r="B27" s="31"/>
    </row>
    <row r="28" spans="1:6" ht="15.75" customHeight="1">
      <c r="B28" s="31"/>
    </row>
    <row r="29" spans="1:6" ht="15.75" customHeight="1">
      <c r="B29" s="31"/>
    </row>
    <row r="30" spans="1:6" ht="15.75" customHeight="1">
      <c r="B30" s="31"/>
    </row>
    <row r="31" spans="1:6" ht="15.75" customHeight="1">
      <c r="B31" s="31"/>
    </row>
    <row r="32" spans="1:6" ht="15.75" customHeight="1">
      <c r="B32" s="31"/>
    </row>
    <row r="33" spans="2:2" ht="15.75" customHeight="1">
      <c r="B33" s="31"/>
    </row>
    <row r="34" spans="2:2" ht="15.75" customHeight="1">
      <c r="B34" s="31"/>
    </row>
    <row r="35" spans="2:2" ht="15.75" customHeight="1">
      <c r="B35" s="31"/>
    </row>
    <row r="36" spans="2:2" ht="15.75" customHeight="1">
      <c r="B36" s="31"/>
    </row>
    <row r="37" spans="2:2" ht="15.75" customHeight="1">
      <c r="B37" s="31"/>
    </row>
    <row r="38" spans="2:2" ht="15.75" customHeight="1">
      <c r="B38" s="31"/>
    </row>
    <row r="39" spans="2:2" ht="15.75" customHeight="1">
      <c r="B39" s="31"/>
    </row>
    <row r="40" spans="2:2" ht="15.75" customHeight="1">
      <c r="B40" s="31"/>
    </row>
    <row r="41" spans="2:2" ht="15.75" customHeight="1">
      <c r="B41" s="31"/>
    </row>
    <row r="42" spans="2:2" ht="15.75" customHeight="1">
      <c r="B42" s="31"/>
    </row>
    <row r="43" spans="2:2" ht="15.75" customHeight="1">
      <c r="B43" s="31"/>
    </row>
    <row r="44" spans="2:2" ht="15.75" customHeight="1">
      <c r="B44" s="31"/>
    </row>
    <row r="45" spans="2:2" ht="15.75" customHeight="1">
      <c r="B45" s="31"/>
    </row>
    <row r="46" spans="2:2" ht="15.75" customHeight="1">
      <c r="B46" s="31"/>
    </row>
    <row r="47" spans="2:2" ht="15.75" customHeight="1">
      <c r="B47" s="31"/>
    </row>
    <row r="48" spans="2:2" ht="15.75" customHeight="1">
      <c r="B48" s="31"/>
    </row>
    <row r="49" spans="2:2" ht="15.75" customHeight="1">
      <c r="B49" s="31"/>
    </row>
    <row r="50" spans="2:2" ht="15.75" customHeight="1">
      <c r="B50" s="31"/>
    </row>
    <row r="51" spans="2:2" ht="15.75" customHeight="1">
      <c r="B51" s="31"/>
    </row>
    <row r="52" spans="2:2" ht="15.75" customHeight="1">
      <c r="B52" s="31"/>
    </row>
    <row r="53" spans="2:2" ht="15.75" customHeight="1">
      <c r="B53" s="31"/>
    </row>
    <row r="54" spans="2:2" ht="15.75" customHeight="1">
      <c r="B54" s="31"/>
    </row>
    <row r="55" spans="2:2" ht="15.75" customHeight="1">
      <c r="B55" s="31"/>
    </row>
    <row r="56" spans="2:2" ht="15.75" customHeight="1">
      <c r="B56" s="31"/>
    </row>
    <row r="57" spans="2:2" ht="15.75" customHeight="1">
      <c r="B57" s="31"/>
    </row>
    <row r="58" spans="2:2" ht="15.75" customHeight="1">
      <c r="B58" s="31"/>
    </row>
    <row r="59" spans="2:2" ht="15.75" customHeight="1">
      <c r="B59" s="31"/>
    </row>
    <row r="60" spans="2:2" ht="15.75" customHeight="1">
      <c r="B60" s="31"/>
    </row>
    <row r="61" spans="2:2" ht="15.75" customHeight="1">
      <c r="B61" s="31"/>
    </row>
    <row r="62" spans="2:2" ht="15.75" customHeight="1">
      <c r="B62" s="31"/>
    </row>
    <row r="63" spans="2:2" ht="15.75" customHeight="1">
      <c r="B63" s="31"/>
    </row>
    <row r="64" spans="2:2" ht="15.75" customHeight="1">
      <c r="B64" s="31"/>
    </row>
    <row r="65" spans="2:2" ht="15.75" customHeight="1">
      <c r="B65" s="31"/>
    </row>
    <row r="66" spans="2:2" ht="15.75" customHeight="1">
      <c r="B66" s="31"/>
    </row>
    <row r="67" spans="2:2" ht="15.75" customHeight="1">
      <c r="B67" s="31"/>
    </row>
    <row r="68" spans="2:2" ht="15.75" customHeight="1">
      <c r="B68" s="31"/>
    </row>
    <row r="69" spans="2:2" ht="15.75" customHeight="1">
      <c r="B69" s="31"/>
    </row>
    <row r="70" spans="2:2" ht="15.75" customHeight="1">
      <c r="B70" s="31"/>
    </row>
    <row r="71" spans="2:2" ht="15.75" customHeight="1">
      <c r="B71" s="31"/>
    </row>
    <row r="72" spans="2:2" ht="15.75" customHeight="1">
      <c r="B72" s="31"/>
    </row>
    <row r="73" spans="2:2" ht="15.75" customHeight="1">
      <c r="B73" s="31"/>
    </row>
    <row r="74" spans="2:2" ht="15.75" customHeight="1">
      <c r="B74" s="31"/>
    </row>
    <row r="75" spans="2:2" ht="15.75" customHeight="1">
      <c r="B75" s="31"/>
    </row>
    <row r="76" spans="2:2" ht="15.75" customHeight="1">
      <c r="B76" s="31"/>
    </row>
    <row r="77" spans="2:2" ht="15.75" customHeight="1">
      <c r="B77" s="31"/>
    </row>
    <row r="78" spans="2:2" ht="15.75" customHeight="1">
      <c r="B78" s="31"/>
    </row>
    <row r="79" spans="2:2" ht="15.75" customHeight="1">
      <c r="B79" s="31"/>
    </row>
    <row r="80" spans="2:2" ht="15.75" customHeight="1">
      <c r="B80" s="31"/>
    </row>
    <row r="81" spans="2:2" ht="15.75" customHeight="1">
      <c r="B81" s="31"/>
    </row>
    <row r="82" spans="2:2" ht="15.75" customHeight="1">
      <c r="B82" s="31"/>
    </row>
    <row r="83" spans="2:2" ht="15.75" customHeight="1">
      <c r="B83" s="31"/>
    </row>
    <row r="84" spans="2:2" ht="15.75" customHeight="1">
      <c r="B84" s="31"/>
    </row>
    <row r="85" spans="2:2" ht="15.75" customHeight="1">
      <c r="B85" s="31"/>
    </row>
    <row r="86" spans="2:2" ht="15.75" customHeight="1">
      <c r="B86" s="31"/>
    </row>
    <row r="87" spans="2:2" ht="15.75" customHeight="1">
      <c r="B87" s="31"/>
    </row>
    <row r="88" spans="2:2" ht="15.75" customHeight="1">
      <c r="B88" s="31"/>
    </row>
    <row r="89" spans="2:2" ht="15.75" customHeight="1">
      <c r="B89" s="31"/>
    </row>
    <row r="90" spans="2:2" ht="15.75" customHeight="1">
      <c r="B90" s="31"/>
    </row>
    <row r="91" spans="2:2" ht="15.75" customHeight="1">
      <c r="B91" s="31"/>
    </row>
    <row r="92" spans="2:2" ht="15.75" customHeight="1">
      <c r="B92" s="31"/>
    </row>
    <row r="93" spans="2:2" ht="15.75" customHeight="1">
      <c r="B93" s="31"/>
    </row>
    <row r="94" spans="2:2" ht="15.75" customHeight="1">
      <c r="B94" s="31"/>
    </row>
    <row r="95" spans="2:2" ht="15.75" customHeight="1">
      <c r="B95" s="31"/>
    </row>
    <row r="96" spans="2:2" ht="15.75" customHeight="1">
      <c r="B96" s="31"/>
    </row>
    <row r="97" spans="2:2" ht="15.75" customHeight="1">
      <c r="B97" s="31"/>
    </row>
    <row r="98" spans="2:2" ht="15.75" customHeight="1">
      <c r="B98" s="31"/>
    </row>
    <row r="99" spans="2:2" ht="15.75" customHeight="1">
      <c r="B99" s="31"/>
    </row>
    <row r="100" spans="2:2" ht="15.75" customHeight="1">
      <c r="B100" s="31"/>
    </row>
    <row r="101" spans="2:2" ht="15.75" customHeight="1">
      <c r="B101" s="31"/>
    </row>
    <row r="102" spans="2:2" ht="15.75" customHeight="1">
      <c r="B102" s="31"/>
    </row>
    <row r="103" spans="2:2" ht="15.75" customHeight="1">
      <c r="B103" s="31"/>
    </row>
    <row r="104" spans="2:2" ht="15.75" customHeight="1">
      <c r="B104" s="31"/>
    </row>
    <row r="105" spans="2:2" ht="15.75" customHeight="1">
      <c r="B105" s="31"/>
    </row>
    <row r="106" spans="2:2" ht="15.75" customHeight="1">
      <c r="B106" s="31"/>
    </row>
    <row r="107" spans="2:2" ht="15.75" customHeight="1">
      <c r="B107" s="31"/>
    </row>
    <row r="108" spans="2:2" ht="15.75" customHeight="1">
      <c r="B108" s="31"/>
    </row>
    <row r="109" spans="2:2" ht="15.75" customHeight="1">
      <c r="B109" s="31"/>
    </row>
    <row r="110" spans="2:2" ht="15.75" customHeight="1">
      <c r="B110" s="31"/>
    </row>
    <row r="111" spans="2:2" ht="15.75" customHeight="1">
      <c r="B111" s="31"/>
    </row>
    <row r="112" spans="2:2" ht="15.75" customHeight="1">
      <c r="B112" s="31"/>
    </row>
    <row r="113" spans="2:2" ht="15.75" customHeight="1">
      <c r="B113" s="31"/>
    </row>
    <row r="114" spans="2:2" ht="15.75" customHeight="1">
      <c r="B114" s="31"/>
    </row>
    <row r="115" spans="2:2" ht="15.75" customHeight="1">
      <c r="B115" s="31"/>
    </row>
    <row r="116" spans="2:2" ht="15.75" customHeight="1">
      <c r="B116" s="31"/>
    </row>
    <row r="117" spans="2:2" ht="15.75" customHeight="1">
      <c r="B117" s="31"/>
    </row>
    <row r="118" spans="2:2" ht="15.75" customHeight="1">
      <c r="B118" s="31"/>
    </row>
    <row r="119" spans="2:2" ht="15.75" customHeight="1">
      <c r="B119" s="31"/>
    </row>
    <row r="120" spans="2:2" ht="15.75" customHeight="1">
      <c r="B120" s="31"/>
    </row>
    <row r="121" spans="2:2" ht="15.75" customHeight="1">
      <c r="B121" s="31"/>
    </row>
    <row r="122" spans="2:2" ht="15.75" customHeight="1">
      <c r="B122" s="31"/>
    </row>
    <row r="123" spans="2:2" ht="15.75" customHeight="1">
      <c r="B123" s="31"/>
    </row>
    <row r="124" spans="2:2" ht="15.75" customHeight="1">
      <c r="B124" s="31"/>
    </row>
    <row r="125" spans="2:2" ht="15.75" customHeight="1">
      <c r="B125" s="31"/>
    </row>
    <row r="126" spans="2:2" ht="15.75" customHeight="1">
      <c r="B126" s="31"/>
    </row>
    <row r="127" spans="2:2" ht="15.75" customHeight="1">
      <c r="B127" s="31"/>
    </row>
    <row r="128" spans="2:2" ht="15.75" customHeight="1">
      <c r="B128" s="31"/>
    </row>
    <row r="129" spans="2:2" ht="15.75" customHeight="1">
      <c r="B129" s="31"/>
    </row>
    <row r="130" spans="2:2" ht="15.75" customHeight="1">
      <c r="B130" s="31"/>
    </row>
    <row r="131" spans="2:2" ht="15.75" customHeight="1">
      <c r="B131" s="31"/>
    </row>
    <row r="132" spans="2:2" ht="15.75" customHeight="1">
      <c r="B132" s="31"/>
    </row>
    <row r="133" spans="2:2" ht="15.75" customHeight="1">
      <c r="B133" s="31"/>
    </row>
    <row r="134" spans="2:2" ht="15.75" customHeight="1">
      <c r="B134" s="31"/>
    </row>
    <row r="135" spans="2:2" ht="15.75" customHeight="1">
      <c r="B135" s="31"/>
    </row>
    <row r="136" spans="2:2" ht="15.75" customHeight="1">
      <c r="B136" s="31"/>
    </row>
    <row r="137" spans="2:2" ht="15.75" customHeight="1">
      <c r="B137" s="31"/>
    </row>
    <row r="138" spans="2:2" ht="15.75" customHeight="1">
      <c r="B138" s="31"/>
    </row>
    <row r="139" spans="2:2" ht="15.75" customHeight="1">
      <c r="B139" s="31"/>
    </row>
    <row r="140" spans="2:2" ht="15.75" customHeight="1">
      <c r="B140" s="31"/>
    </row>
    <row r="141" spans="2:2" ht="15.75" customHeight="1">
      <c r="B141" s="31"/>
    </row>
    <row r="142" spans="2:2" ht="15.75" customHeight="1">
      <c r="B142" s="31"/>
    </row>
    <row r="143" spans="2:2" ht="15.75" customHeight="1">
      <c r="B143" s="31"/>
    </row>
    <row r="144" spans="2:2" ht="15.75" customHeight="1">
      <c r="B144" s="31"/>
    </row>
    <row r="145" spans="2:2" ht="15.75" customHeight="1">
      <c r="B145" s="31"/>
    </row>
    <row r="146" spans="2:2" ht="15.75" customHeight="1">
      <c r="B146" s="31"/>
    </row>
    <row r="147" spans="2:2" ht="15.75" customHeight="1">
      <c r="B147" s="31"/>
    </row>
    <row r="148" spans="2:2" ht="15.75" customHeight="1">
      <c r="B148" s="31"/>
    </row>
    <row r="149" spans="2:2" ht="15.75" customHeight="1">
      <c r="B149" s="31"/>
    </row>
    <row r="150" spans="2:2" ht="15.75" customHeight="1">
      <c r="B150" s="31"/>
    </row>
    <row r="151" spans="2:2" ht="15.75" customHeight="1">
      <c r="B151" s="31"/>
    </row>
    <row r="152" spans="2:2" ht="15.75" customHeight="1">
      <c r="B152" s="31"/>
    </row>
    <row r="153" spans="2:2" ht="15.75" customHeight="1">
      <c r="B153" s="31"/>
    </row>
    <row r="154" spans="2:2" ht="15.75" customHeight="1">
      <c r="B154" s="31"/>
    </row>
    <row r="155" spans="2:2" ht="15.75" customHeight="1">
      <c r="B155" s="31"/>
    </row>
    <row r="156" spans="2:2" ht="15.75" customHeight="1">
      <c r="B156" s="31"/>
    </row>
    <row r="157" spans="2:2" ht="15.75" customHeight="1">
      <c r="B157" s="31"/>
    </row>
    <row r="158" spans="2:2" ht="15.75" customHeight="1">
      <c r="B158" s="31"/>
    </row>
    <row r="159" spans="2:2" ht="15.75" customHeight="1">
      <c r="B159" s="31"/>
    </row>
    <row r="160" spans="2:2" ht="15.75" customHeight="1">
      <c r="B160" s="31"/>
    </row>
    <row r="161" spans="2:2" ht="15.75" customHeight="1">
      <c r="B161" s="31"/>
    </row>
    <row r="162" spans="2:2" ht="15.75" customHeight="1">
      <c r="B162" s="31"/>
    </row>
    <row r="163" spans="2:2" ht="15.75" customHeight="1">
      <c r="B163" s="31"/>
    </row>
    <row r="164" spans="2:2" ht="15.75" customHeight="1">
      <c r="B164" s="31"/>
    </row>
    <row r="165" spans="2:2" ht="15.75" customHeight="1">
      <c r="B165" s="31"/>
    </row>
    <row r="166" spans="2:2" ht="15.75" customHeight="1">
      <c r="B166" s="31"/>
    </row>
    <row r="167" spans="2:2" ht="15.75" customHeight="1">
      <c r="B167" s="31"/>
    </row>
    <row r="168" spans="2:2" ht="15.75" customHeight="1">
      <c r="B168" s="31"/>
    </row>
    <row r="169" spans="2:2" ht="15.75" customHeight="1">
      <c r="B169" s="31"/>
    </row>
    <row r="170" spans="2:2" ht="15.75" customHeight="1">
      <c r="B170" s="31"/>
    </row>
    <row r="171" spans="2:2" ht="15.75" customHeight="1">
      <c r="B171" s="31"/>
    </row>
    <row r="172" spans="2:2" ht="15.75" customHeight="1">
      <c r="B172" s="31"/>
    </row>
    <row r="173" spans="2:2" ht="15.75" customHeight="1">
      <c r="B173" s="31"/>
    </row>
    <row r="174" spans="2:2" ht="15.75" customHeight="1">
      <c r="B174" s="31"/>
    </row>
    <row r="175" spans="2:2" ht="15.75" customHeight="1">
      <c r="B175" s="31"/>
    </row>
    <row r="176" spans="2:2" ht="15.75" customHeight="1">
      <c r="B176" s="31"/>
    </row>
    <row r="177" spans="2:2" ht="15.75" customHeight="1">
      <c r="B177" s="31"/>
    </row>
    <row r="178" spans="2:2" ht="15.75" customHeight="1">
      <c r="B178" s="31"/>
    </row>
    <row r="179" spans="2:2" ht="15.75" customHeight="1">
      <c r="B179" s="31"/>
    </row>
    <row r="180" spans="2:2" ht="15.75" customHeight="1">
      <c r="B180" s="31"/>
    </row>
    <row r="181" spans="2:2" ht="15.75" customHeight="1">
      <c r="B181" s="31"/>
    </row>
    <row r="182" spans="2:2" ht="15.75" customHeight="1">
      <c r="B182" s="31"/>
    </row>
    <row r="183" spans="2:2" ht="15.75" customHeight="1">
      <c r="B183" s="31"/>
    </row>
    <row r="184" spans="2:2" ht="15.75" customHeight="1">
      <c r="B184" s="31"/>
    </row>
    <row r="185" spans="2:2" ht="15.75" customHeight="1">
      <c r="B185" s="31"/>
    </row>
    <row r="186" spans="2:2" ht="15.75" customHeight="1">
      <c r="B186" s="31"/>
    </row>
    <row r="187" spans="2:2" ht="15.75" customHeight="1">
      <c r="B187" s="31"/>
    </row>
    <row r="188" spans="2:2" ht="15.75" customHeight="1">
      <c r="B188" s="31"/>
    </row>
    <row r="189" spans="2:2" ht="15.75" customHeight="1">
      <c r="B189" s="31"/>
    </row>
    <row r="190" spans="2:2" ht="15.75" customHeight="1">
      <c r="B190" s="31"/>
    </row>
    <row r="191" spans="2:2" ht="15.75" customHeight="1">
      <c r="B191" s="31"/>
    </row>
    <row r="192" spans="2:2" ht="15.75" customHeight="1">
      <c r="B192" s="31"/>
    </row>
    <row r="193" spans="2:2" ht="15.75" customHeight="1">
      <c r="B193" s="31"/>
    </row>
    <row r="194" spans="2:2" ht="15.75" customHeight="1">
      <c r="B194" s="31"/>
    </row>
    <row r="195" spans="2:2" ht="15.75" customHeight="1">
      <c r="B195" s="31"/>
    </row>
    <row r="196" spans="2:2" ht="15.75" customHeight="1">
      <c r="B196" s="31"/>
    </row>
    <row r="197" spans="2:2" ht="15.75" customHeight="1">
      <c r="B197" s="31"/>
    </row>
    <row r="198" spans="2:2" ht="15.75" customHeight="1">
      <c r="B198" s="31"/>
    </row>
    <row r="199" spans="2:2" ht="15.75" customHeight="1">
      <c r="B199" s="31"/>
    </row>
    <row r="200" spans="2:2" ht="15.75" customHeight="1">
      <c r="B200" s="31"/>
    </row>
    <row r="201" spans="2:2" ht="15.75" customHeight="1">
      <c r="B201" s="31"/>
    </row>
    <row r="202" spans="2:2" ht="15.75" customHeight="1">
      <c r="B202" s="31"/>
    </row>
    <row r="203" spans="2:2" ht="15.75" customHeight="1">
      <c r="B203" s="31"/>
    </row>
    <row r="204" spans="2:2" ht="15.75" customHeight="1">
      <c r="B204" s="31"/>
    </row>
    <row r="205" spans="2:2" ht="15.75" customHeight="1">
      <c r="B205" s="31"/>
    </row>
    <row r="206" spans="2:2" ht="15.75" customHeight="1">
      <c r="B206" s="31"/>
    </row>
    <row r="207" spans="2:2" ht="15.75" customHeight="1">
      <c r="B207" s="31"/>
    </row>
    <row r="208" spans="2:2" ht="15.75" customHeight="1">
      <c r="B208" s="31"/>
    </row>
    <row r="209" spans="2:2" ht="15.75" customHeight="1">
      <c r="B209" s="31"/>
    </row>
    <row r="210" spans="2:2" ht="15.75" customHeight="1">
      <c r="B210" s="31"/>
    </row>
    <row r="211" spans="2:2" ht="15.75" customHeight="1">
      <c r="B211" s="31"/>
    </row>
    <row r="212" spans="2:2" ht="15.75" customHeight="1">
      <c r="B212" s="31"/>
    </row>
    <row r="213" spans="2:2" ht="15.75" customHeight="1">
      <c r="B213" s="31"/>
    </row>
    <row r="214" spans="2:2" ht="15.75" customHeight="1">
      <c r="B214" s="31"/>
    </row>
    <row r="215" spans="2:2" ht="15.75" customHeight="1">
      <c r="B215" s="31"/>
    </row>
    <row r="216" spans="2:2" ht="15.75" customHeight="1">
      <c r="B216" s="31"/>
    </row>
    <row r="217" spans="2:2" ht="15.75" customHeight="1">
      <c r="B217" s="31"/>
    </row>
    <row r="218" spans="2:2" ht="15.75" customHeight="1">
      <c r="B218" s="31"/>
    </row>
    <row r="219" spans="2:2" ht="15.75" customHeight="1">
      <c r="B219" s="31"/>
    </row>
    <row r="220" spans="2:2" ht="15.75" customHeight="1">
      <c r="B220" s="31"/>
    </row>
    <row r="221" spans="2:2" ht="15.75" customHeight="1"/>
    <row r="222" spans="2:2" ht="15.75" customHeight="1"/>
    <row r="223" spans="2:2" ht="15.75" customHeight="1"/>
    <row r="224" spans="2:2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X1000"/>
  <sheetViews>
    <sheetView workbookViewId="0"/>
  </sheetViews>
  <sheetFormatPr baseColWidth="10" defaultColWidth="12.6640625" defaultRowHeight="15" customHeight="1"/>
  <cols>
    <col min="1" max="4" width="12.6640625" customWidth="1"/>
    <col min="5" max="5" width="20.33203125" customWidth="1"/>
    <col min="6" max="6" width="16.5" customWidth="1"/>
    <col min="7" max="7" width="29.33203125" customWidth="1"/>
    <col min="8" max="8" width="218.6640625" customWidth="1"/>
  </cols>
  <sheetData>
    <row r="1" spans="1:24" ht="15.75" customHeight="1">
      <c r="A1" s="18" t="s">
        <v>20</v>
      </c>
      <c r="B1" s="18" t="s">
        <v>25</v>
      </c>
      <c r="C1" s="18" t="s">
        <v>27</v>
      </c>
      <c r="D1" s="18"/>
      <c r="E1" s="18" t="s">
        <v>30</v>
      </c>
      <c r="F1" s="18" t="s">
        <v>32</v>
      </c>
      <c r="G1" s="18" t="s">
        <v>34</v>
      </c>
      <c r="H1" s="18" t="s">
        <v>20</v>
      </c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2"/>
      <c r="U1" s="22"/>
      <c r="V1" s="22"/>
      <c r="W1" s="22"/>
      <c r="X1" s="22"/>
    </row>
    <row r="2" spans="1:24" ht="15.75" customHeight="1">
      <c r="A2" s="20" t="s">
        <v>48</v>
      </c>
      <c r="B2" s="24">
        <v>1</v>
      </c>
      <c r="C2" s="25">
        <v>30</v>
      </c>
      <c r="D2" s="25">
        <v>30</v>
      </c>
      <c r="E2" s="20"/>
      <c r="F2" s="26"/>
      <c r="G2" s="26" t="s">
        <v>54</v>
      </c>
      <c r="H2" s="20" t="s">
        <v>61</v>
      </c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2"/>
      <c r="U2" s="22"/>
      <c r="V2" s="22"/>
      <c r="W2" s="22"/>
      <c r="X2" s="22"/>
    </row>
    <row r="3" spans="1:24" ht="15.75" customHeight="1">
      <c r="A3" s="20" t="s">
        <v>64</v>
      </c>
      <c r="B3" s="24">
        <v>1</v>
      </c>
      <c r="C3" s="25">
        <v>0.04</v>
      </c>
      <c r="D3" s="25">
        <v>0.04</v>
      </c>
      <c r="E3" s="20" t="s">
        <v>67</v>
      </c>
      <c r="F3" s="26" t="s">
        <v>70</v>
      </c>
      <c r="G3" s="26"/>
      <c r="H3" s="20" t="s">
        <v>73</v>
      </c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2"/>
      <c r="U3" s="22"/>
      <c r="V3" s="22"/>
      <c r="W3" s="22"/>
      <c r="X3" s="22"/>
    </row>
    <row r="4" spans="1:24" ht="15.75" customHeight="1">
      <c r="A4" s="20" t="s">
        <v>75</v>
      </c>
      <c r="B4" s="24">
        <v>1</v>
      </c>
      <c r="C4" s="25">
        <v>0.45</v>
      </c>
      <c r="D4" s="25">
        <v>0.45</v>
      </c>
      <c r="E4" s="20" t="s">
        <v>77</v>
      </c>
      <c r="F4" s="26" t="s">
        <v>78</v>
      </c>
      <c r="G4" s="26"/>
      <c r="H4" s="20" t="s">
        <v>83</v>
      </c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2"/>
      <c r="U4" s="22"/>
      <c r="V4" s="22"/>
      <c r="W4" s="22"/>
      <c r="X4" s="22"/>
    </row>
    <row r="5" spans="1:24" ht="15.75" customHeight="1">
      <c r="A5" s="20" t="s">
        <v>87</v>
      </c>
      <c r="B5" s="24">
        <v>3</v>
      </c>
      <c r="C5" s="25">
        <v>0.23</v>
      </c>
      <c r="D5" s="25">
        <v>0.69</v>
      </c>
      <c r="E5" s="20" t="s">
        <v>88</v>
      </c>
      <c r="F5" s="33" t="s">
        <v>90</v>
      </c>
      <c r="G5" s="26"/>
      <c r="H5" s="20" t="s">
        <v>83</v>
      </c>
      <c r="I5" s="20"/>
      <c r="J5" s="20"/>
      <c r="K5" s="22"/>
      <c r="L5" s="20"/>
      <c r="M5" s="20"/>
      <c r="N5" s="20"/>
      <c r="O5" s="20"/>
      <c r="P5" s="20"/>
      <c r="Q5" s="20"/>
      <c r="R5" s="20"/>
      <c r="S5" s="20"/>
      <c r="T5" s="22"/>
      <c r="U5" s="22"/>
      <c r="V5" s="22"/>
      <c r="W5" s="22"/>
      <c r="X5" s="22"/>
    </row>
    <row r="6" spans="1:24" ht="15.75" customHeight="1">
      <c r="A6" s="20" t="s">
        <v>92</v>
      </c>
      <c r="B6" s="24">
        <v>2</v>
      </c>
      <c r="C6" s="25">
        <v>0.31</v>
      </c>
      <c r="D6" s="25">
        <v>0.62</v>
      </c>
      <c r="E6" s="20" t="s">
        <v>94</v>
      </c>
      <c r="F6" s="26" t="s">
        <v>95</v>
      </c>
      <c r="G6" s="26"/>
      <c r="H6" s="20" t="s">
        <v>83</v>
      </c>
      <c r="I6" s="20"/>
      <c r="J6" s="20"/>
      <c r="K6" s="22"/>
      <c r="L6" s="20"/>
      <c r="M6" s="20"/>
      <c r="N6" s="20"/>
      <c r="O6" s="20"/>
      <c r="P6" s="20"/>
      <c r="Q6" s="20"/>
      <c r="R6" s="20"/>
      <c r="S6" s="20"/>
      <c r="T6" s="22"/>
      <c r="U6" s="22"/>
      <c r="V6" s="22"/>
      <c r="W6" s="22"/>
      <c r="X6" s="22"/>
    </row>
    <row r="7" spans="1:24" ht="15.75" customHeight="1">
      <c r="A7" s="20" t="s">
        <v>100</v>
      </c>
      <c r="B7" s="24">
        <v>1</v>
      </c>
      <c r="C7" s="25">
        <v>0.23</v>
      </c>
      <c r="D7" s="25">
        <v>0.23</v>
      </c>
      <c r="E7" s="20" t="s">
        <v>101</v>
      </c>
      <c r="F7" s="26" t="s">
        <v>102</v>
      </c>
      <c r="G7" s="20"/>
      <c r="H7" s="20" t="s">
        <v>83</v>
      </c>
      <c r="I7" s="20"/>
      <c r="J7" s="20"/>
      <c r="K7" s="22"/>
      <c r="L7" s="20"/>
      <c r="M7" s="20"/>
      <c r="N7" s="20"/>
      <c r="O7" s="20"/>
      <c r="P7" s="20"/>
      <c r="Q7" s="20"/>
      <c r="R7" s="20"/>
      <c r="S7" s="20"/>
      <c r="T7" s="22"/>
      <c r="U7" s="22"/>
      <c r="V7" s="22"/>
      <c r="W7" s="22"/>
      <c r="X7" s="22"/>
    </row>
    <row r="8" spans="1:24" ht="15.75" customHeight="1">
      <c r="A8" s="20" t="s">
        <v>107</v>
      </c>
      <c r="B8" s="24">
        <v>1</v>
      </c>
      <c r="C8" s="25">
        <v>0.86</v>
      </c>
      <c r="D8" s="25">
        <v>0.86</v>
      </c>
      <c r="E8" s="20" t="s">
        <v>108</v>
      </c>
      <c r="F8" s="26" t="s">
        <v>109</v>
      </c>
      <c r="G8" s="26"/>
      <c r="H8" s="20" t="s">
        <v>107</v>
      </c>
      <c r="I8" s="20"/>
      <c r="J8" s="20"/>
      <c r="K8" s="22"/>
      <c r="L8" s="20"/>
      <c r="M8" s="20"/>
      <c r="N8" s="20"/>
      <c r="O8" s="20"/>
      <c r="P8" s="20"/>
      <c r="Q8" s="20"/>
      <c r="R8" s="20"/>
      <c r="S8" s="20"/>
      <c r="T8" s="22"/>
      <c r="U8" s="22"/>
      <c r="V8" s="22"/>
      <c r="W8" s="22"/>
      <c r="X8" s="22"/>
    </row>
    <row r="9" spans="1:24" ht="15.75" customHeight="1">
      <c r="A9" s="20" t="s">
        <v>116</v>
      </c>
      <c r="B9" s="24">
        <v>1</v>
      </c>
      <c r="C9" s="25">
        <v>34.94</v>
      </c>
      <c r="D9" s="25">
        <v>34.94</v>
      </c>
      <c r="E9" s="20" t="s">
        <v>117</v>
      </c>
      <c r="F9" s="26" t="s">
        <v>118</v>
      </c>
      <c r="G9" s="20"/>
      <c r="H9" s="20" t="s">
        <v>121</v>
      </c>
      <c r="I9" s="20"/>
      <c r="J9" s="20"/>
      <c r="K9" s="22"/>
      <c r="L9" s="20"/>
      <c r="M9" s="20"/>
      <c r="N9" s="20"/>
      <c r="O9" s="20"/>
      <c r="P9" s="20"/>
      <c r="Q9" s="20"/>
      <c r="R9" s="20"/>
      <c r="S9" s="20"/>
      <c r="T9" s="22"/>
      <c r="U9" s="22"/>
      <c r="V9" s="22"/>
      <c r="W9" s="22"/>
      <c r="X9" s="22"/>
    </row>
    <row r="10" spans="1:24" ht="15.75" customHeight="1">
      <c r="A10" s="20" t="s">
        <v>122</v>
      </c>
      <c r="B10" s="24">
        <v>7</v>
      </c>
      <c r="C10" s="25">
        <v>0.91</v>
      </c>
      <c r="D10" s="25">
        <v>6.37</v>
      </c>
      <c r="E10" s="20" t="s">
        <v>123</v>
      </c>
      <c r="F10" s="26" t="s">
        <v>124</v>
      </c>
      <c r="G10" s="26"/>
      <c r="H10" s="20" t="s">
        <v>125</v>
      </c>
      <c r="I10" s="20"/>
      <c r="J10" s="20"/>
      <c r="K10" s="22"/>
      <c r="L10" s="20"/>
      <c r="M10" s="20"/>
      <c r="N10" s="20"/>
      <c r="O10" s="20"/>
      <c r="P10" s="20"/>
      <c r="Q10" s="20"/>
      <c r="R10" s="20"/>
      <c r="S10" s="20"/>
      <c r="T10" s="22"/>
      <c r="U10" s="22"/>
      <c r="V10" s="22"/>
      <c r="W10" s="22"/>
      <c r="X10" s="22"/>
    </row>
    <row r="11" spans="1:24" ht="15.75" customHeight="1">
      <c r="A11" s="20" t="s">
        <v>127</v>
      </c>
      <c r="B11" s="24">
        <v>1</v>
      </c>
      <c r="C11" s="25">
        <v>4.51</v>
      </c>
      <c r="D11" s="25">
        <v>4.51</v>
      </c>
      <c r="E11" s="20" t="s">
        <v>129</v>
      </c>
      <c r="F11" s="26" t="s">
        <v>130</v>
      </c>
      <c r="G11" s="20"/>
      <c r="H11" s="20" t="s">
        <v>132</v>
      </c>
      <c r="I11" s="20"/>
      <c r="J11" s="20"/>
      <c r="K11" s="22"/>
      <c r="L11" s="20"/>
      <c r="M11" s="20"/>
      <c r="N11" s="20"/>
      <c r="O11" s="20"/>
      <c r="P11" s="20"/>
      <c r="Q11" s="20"/>
      <c r="R11" s="20"/>
      <c r="S11" s="20"/>
      <c r="T11" s="22"/>
      <c r="U11" s="22"/>
      <c r="V11" s="22"/>
      <c r="W11" s="22"/>
      <c r="X11" s="22"/>
    </row>
    <row r="12" spans="1:24" ht="15.75" customHeight="1">
      <c r="A12" s="20" t="s">
        <v>133</v>
      </c>
      <c r="B12" s="24">
        <v>1</v>
      </c>
      <c r="C12" s="25">
        <v>0.21</v>
      </c>
      <c r="D12" s="25">
        <v>0.21</v>
      </c>
      <c r="E12" s="20" t="s">
        <v>135</v>
      </c>
      <c r="F12" s="26" t="s">
        <v>136</v>
      </c>
      <c r="G12" s="26"/>
      <c r="H12" s="20"/>
      <c r="I12" s="20"/>
      <c r="J12" s="20"/>
      <c r="K12" s="22"/>
      <c r="L12" s="20"/>
      <c r="M12" s="20"/>
      <c r="N12" s="20"/>
      <c r="O12" s="20"/>
      <c r="P12" s="20"/>
      <c r="Q12" s="20"/>
      <c r="R12" s="20"/>
      <c r="S12" s="20"/>
      <c r="T12" s="22"/>
      <c r="U12" s="22"/>
      <c r="V12" s="22"/>
      <c r="W12" s="22"/>
      <c r="X12" s="22"/>
    </row>
    <row r="13" spans="1:24" ht="15.75" customHeight="1">
      <c r="A13" s="20" t="s">
        <v>138</v>
      </c>
      <c r="B13" s="24">
        <v>1</v>
      </c>
      <c r="C13" s="25">
        <v>0.57999999999999996</v>
      </c>
      <c r="D13" s="25">
        <v>0.57999999999999996</v>
      </c>
      <c r="E13" s="20" t="s">
        <v>139</v>
      </c>
      <c r="F13" s="20" t="s">
        <v>140</v>
      </c>
      <c r="G13" s="20"/>
      <c r="H13" s="20" t="s">
        <v>141</v>
      </c>
      <c r="I13" s="20"/>
      <c r="J13" s="26"/>
      <c r="K13" s="22"/>
      <c r="L13" s="20"/>
      <c r="M13" s="20"/>
      <c r="N13" s="20"/>
      <c r="O13" s="20"/>
      <c r="P13" s="20"/>
      <c r="Q13" s="20"/>
      <c r="R13" s="20"/>
      <c r="S13" s="20"/>
      <c r="T13" s="22"/>
      <c r="U13" s="22"/>
      <c r="V13" s="22"/>
      <c r="W13" s="22"/>
      <c r="X13" s="22"/>
    </row>
    <row r="14" spans="1:24" ht="15.75" customHeight="1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2"/>
      <c r="U14" s="22"/>
      <c r="V14" s="22"/>
      <c r="W14" s="22"/>
      <c r="X14" s="22"/>
    </row>
    <row r="15" spans="1:24" ht="15.75" customHeight="1"/>
    <row r="16" spans="1:24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G2" r:id="rId1" xr:uid="{00000000-0004-0000-0300-000000000000}"/>
    <hyperlink ref="F3" r:id="rId2" xr:uid="{00000000-0004-0000-0300-000001000000}"/>
    <hyperlink ref="F4" r:id="rId3" xr:uid="{00000000-0004-0000-0300-000002000000}"/>
    <hyperlink ref="F6" r:id="rId4" xr:uid="{00000000-0004-0000-0300-000003000000}"/>
    <hyperlink ref="F7" r:id="rId5" xr:uid="{00000000-0004-0000-0300-000004000000}"/>
    <hyperlink ref="F8" r:id="rId6" xr:uid="{00000000-0004-0000-0300-000005000000}"/>
    <hyperlink ref="F9" r:id="rId7" xr:uid="{00000000-0004-0000-0300-000006000000}"/>
    <hyperlink ref="F10" r:id="rId8" xr:uid="{00000000-0004-0000-0300-000007000000}"/>
    <hyperlink ref="F11" r:id="rId9" xr:uid="{00000000-0004-0000-0300-000008000000}"/>
    <hyperlink ref="F12" r:id="rId10" xr:uid="{00000000-0004-0000-0300-000009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(POLIMI) Rally + Orin Nano</vt:lpstr>
      <vt:lpstr>(ORIGINAL) Rally + Orin Nano</vt:lpstr>
      <vt:lpstr>ToolsPeripherals</vt:lpstr>
      <vt:lpstr>Fastener Breakdown</vt:lpstr>
      <vt:lpstr>(DEPRECATED) Powerboard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Tommaso Costantini</cp:lastModifiedBy>
  <dcterms:modified xsi:type="dcterms:W3CDTF">2026-09-24T13:20:43Z</dcterms:modified>
</cp:coreProperties>
</file>